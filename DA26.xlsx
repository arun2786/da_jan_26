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230052C1-8BE5-4CA1-AE6C-879D7BCE852B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Pivot" sheetId="5" r:id="rId1"/>
    <sheet name="SalesData" sheetId="1" r:id="rId2"/>
    <sheet name="Analysis" sheetId="2" r:id="rId3"/>
    <sheet name="Sheet1" sheetId="4" r:id="rId4"/>
  </sheets>
  <definedNames>
    <definedName name="_xlnm._FilterDatabase" localSheetId="1" hidden="1">SalesData!$H$1:$H$51</definedName>
  </definedNames>
  <calcPr calcId="191028"/>
  <pivotCaches>
    <pivotCache cacheId="480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9" i="2" l="1"/>
  <c r="E120" i="2"/>
  <c r="E118" i="2"/>
  <c r="D119" i="2"/>
  <c r="D120" i="2"/>
  <c r="D118" i="2"/>
  <c r="C119" i="2"/>
  <c r="C120" i="2"/>
  <c r="C118" i="2"/>
  <c r="B118" i="2" a="1"/>
  <c r="B118" i="2"/>
  <c r="B114" i="2"/>
  <c r="A61" i="2" a="1"/>
  <c r="A61" i="2"/>
  <c r="A42" i="2" a="1"/>
  <c r="A42" i="2" s="1"/>
  <c r="B34" i="2" a="1"/>
  <c r="B34" i="2"/>
  <c r="B38" i="2" s="1"/>
  <c r="B8" i="2" a="1"/>
  <c r="B8" i="2"/>
  <c r="B4" i="2"/>
  <c r="B3" i="2"/>
  <c r="B1" i="2" s="1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<sst xmlns="http://schemas.openxmlformats.org/spreadsheetml/2006/main" count="395" uniqueCount="199">
  <si>
    <t>Sum of Total_Amount</t>
  </si>
  <si>
    <t>Salesperson</t>
  </si>
  <si>
    <t>Category</t>
  </si>
  <si>
    <t>Amit Kumar</t>
  </si>
  <si>
    <t>Priya Patel</t>
  </si>
  <si>
    <t>Ramesh Gupta</t>
  </si>
  <si>
    <t>Sunita Singh</t>
  </si>
  <si>
    <t>Grand Total</t>
  </si>
  <si>
    <t>Ground Spices</t>
  </si>
  <si>
    <t>Spice Blends</t>
  </si>
  <si>
    <t>Whole Spices</t>
  </si>
  <si>
    <t>Profit margin</t>
  </si>
  <si>
    <t>city performance</t>
  </si>
  <si>
    <t>salesman performance</t>
  </si>
  <si>
    <t>Order_ID</t>
  </si>
  <si>
    <t>Date</t>
  </si>
  <si>
    <t>Customer_Name</t>
  </si>
  <si>
    <t>City</t>
  </si>
  <si>
    <t>State</t>
  </si>
  <si>
    <t>Spice_Name</t>
  </si>
  <si>
    <t>Quantity_KG</t>
  </si>
  <si>
    <t>Price_Per_KG</t>
  </si>
  <si>
    <t>Total_Amount</t>
  </si>
  <si>
    <t>Cost_Per_KG</t>
  </si>
  <si>
    <t>Profit</t>
  </si>
  <si>
    <t>MM001</t>
  </si>
  <si>
    <t>Taj Restaurant</t>
  </si>
  <si>
    <t>Mumbai</t>
  </si>
  <si>
    <t>Maharashtra</t>
  </si>
  <si>
    <t>Turmeric Powder</t>
  </si>
  <si>
    <t>MM002</t>
  </si>
  <si>
    <t>Spice Garden Cafe</t>
  </si>
  <si>
    <t>Pune</t>
  </si>
  <si>
    <t>Red Chili Powder</t>
  </si>
  <si>
    <t>MM003</t>
  </si>
  <si>
    <t>Royal Kitchen</t>
  </si>
  <si>
    <t>Garam Masala</t>
  </si>
  <si>
    <t>MM004</t>
  </si>
  <si>
    <t>Maharaja Dhaba</t>
  </si>
  <si>
    <t>Nashik</t>
  </si>
  <si>
    <t>Cumin Seeds</t>
  </si>
  <si>
    <t>MM005</t>
  </si>
  <si>
    <t>Bombay Bites</t>
  </si>
  <si>
    <t>Coriander Powder</t>
  </si>
  <si>
    <t>MM006</t>
  </si>
  <si>
    <t>Sagar Restaurant</t>
  </si>
  <si>
    <t>Black Pepper</t>
  </si>
  <si>
    <t>MM007</t>
  </si>
  <si>
    <t>Krishna Cafe</t>
  </si>
  <si>
    <t>Nagpur</t>
  </si>
  <si>
    <t>Cardamom</t>
  </si>
  <si>
    <t>MM008</t>
  </si>
  <si>
    <t>Golden Spoon</t>
  </si>
  <si>
    <t>MM009</t>
  </si>
  <si>
    <t>Pune Palace</t>
  </si>
  <si>
    <t>Biryani Masala</t>
  </si>
  <si>
    <t>MM010</t>
  </si>
  <si>
    <t>Marathi Mandir</t>
  </si>
  <si>
    <t>MM011</t>
  </si>
  <si>
    <t>Deccan Delights</t>
  </si>
  <si>
    <t>Mustard Seeds</t>
  </si>
  <si>
    <t>MM012</t>
  </si>
  <si>
    <t>Mumbai Masala</t>
  </si>
  <si>
    <t>MM013</t>
  </si>
  <si>
    <t>Nashik Nosh</t>
  </si>
  <si>
    <t>MM014</t>
  </si>
  <si>
    <t>Spicy Affairs</t>
  </si>
  <si>
    <t>MM015</t>
  </si>
  <si>
    <t>Cinnamon Sticks</t>
  </si>
  <si>
    <t>MM016</t>
  </si>
  <si>
    <t>Aurangabad Eats</t>
  </si>
  <si>
    <t>Aurangabad</t>
  </si>
  <si>
    <t>MM017</t>
  </si>
  <si>
    <t>Kolhapur Kitchen</t>
  </si>
  <si>
    <t>Kolhapur</t>
  </si>
  <si>
    <t>Kolhapuri Masala</t>
  </si>
  <si>
    <t>MM018</t>
  </si>
  <si>
    <t>Solapur Spices</t>
  </si>
  <si>
    <t>Solapur</t>
  </si>
  <si>
    <t>MM019</t>
  </si>
  <si>
    <t>Nagpur Nights</t>
  </si>
  <si>
    <t>Orange Peel Powder</t>
  </si>
  <si>
    <t>MM020</t>
  </si>
  <si>
    <t>Mumbai Central</t>
  </si>
  <si>
    <t>Chat Masala</t>
  </si>
  <si>
    <t>MM021</t>
  </si>
  <si>
    <t>Dhule Dining</t>
  </si>
  <si>
    <t>Dhule</t>
  </si>
  <si>
    <t>Coriander Seeds</t>
  </si>
  <si>
    <t>MM022</t>
  </si>
  <si>
    <t>Pune Express</t>
  </si>
  <si>
    <t>Fennel Seeds</t>
  </si>
  <si>
    <t>MM023</t>
  </si>
  <si>
    <t>Latur Lunch</t>
  </si>
  <si>
    <t>Latur</t>
  </si>
  <si>
    <t>Fenugreek Seeds</t>
  </si>
  <si>
    <t>MM024</t>
  </si>
  <si>
    <t>Thane Tiffin</t>
  </si>
  <si>
    <t>Thane</t>
  </si>
  <si>
    <t>Sambhar Masala</t>
  </si>
  <si>
    <t>MM025</t>
  </si>
  <si>
    <t>Sangli Sweets</t>
  </si>
  <si>
    <t>Sangli</t>
  </si>
  <si>
    <t>MM026</t>
  </si>
  <si>
    <t>Satara Snacks</t>
  </si>
  <si>
    <t>Satara</t>
  </si>
  <si>
    <t>MM027</t>
  </si>
  <si>
    <t>Ahmednagar Appetite</t>
  </si>
  <si>
    <t>Ahmednagar</t>
  </si>
  <si>
    <t>MM028</t>
  </si>
  <si>
    <t>Beed Bites</t>
  </si>
  <si>
    <t>Beed</t>
  </si>
  <si>
    <t>Black Mustard Seeds</t>
  </si>
  <si>
    <t>MM029</t>
  </si>
  <si>
    <t>Jalgaon Junction</t>
  </si>
  <si>
    <t>Jalgaon</t>
  </si>
  <si>
    <t>Banana Powder</t>
  </si>
  <si>
    <t>MM030</t>
  </si>
  <si>
    <t>Akola Appetite</t>
  </si>
  <si>
    <t>Akola</t>
  </si>
  <si>
    <t>MM031</t>
  </si>
  <si>
    <t>Wardha Wonders</t>
  </si>
  <si>
    <t>Wardha</t>
  </si>
  <si>
    <t>Bay Leaves</t>
  </si>
  <si>
    <t>MM032</t>
  </si>
  <si>
    <t>Yavatmal Yummy</t>
  </si>
  <si>
    <t>Yavatmal</t>
  </si>
  <si>
    <t>Star Anise</t>
  </si>
  <si>
    <t>MM033</t>
  </si>
  <si>
    <t>Buldhana Bites</t>
  </si>
  <si>
    <t>Buldhana</t>
  </si>
  <si>
    <t>Asafoetida</t>
  </si>
  <si>
    <t>MM034</t>
  </si>
  <si>
    <t>Washim Wok</t>
  </si>
  <si>
    <t>Washim</t>
  </si>
  <si>
    <t>MM035</t>
  </si>
  <si>
    <t>Hingoli Kitchen</t>
  </si>
  <si>
    <t>Hingoli</t>
  </si>
  <si>
    <t>MM036</t>
  </si>
  <si>
    <t>Nanded Nosh</t>
  </si>
  <si>
    <t>Nanded</t>
  </si>
  <si>
    <t>Pav Bhaji Masala</t>
  </si>
  <si>
    <t>MM037</t>
  </si>
  <si>
    <t>Parbhani Palace</t>
  </si>
  <si>
    <t>Parbhani</t>
  </si>
  <si>
    <t>MM038</t>
  </si>
  <si>
    <t>Jalna Journey</t>
  </si>
  <si>
    <t>Jalna</t>
  </si>
  <si>
    <t>Cumin Powder</t>
  </si>
  <si>
    <t>MM039</t>
  </si>
  <si>
    <t>Osmanabad Organic</t>
  </si>
  <si>
    <t>Osmanabad</t>
  </si>
  <si>
    <t>MM040</t>
  </si>
  <si>
    <t>Solapur Supreme</t>
  </si>
  <si>
    <t>Cloves</t>
  </si>
  <si>
    <t>MM041</t>
  </si>
  <si>
    <t>Pune Premium</t>
  </si>
  <si>
    <t>Nutmeg</t>
  </si>
  <si>
    <t>MM042</t>
  </si>
  <si>
    <t>Mumbai Magic</t>
  </si>
  <si>
    <t>Mace</t>
  </si>
  <si>
    <t>MM043</t>
  </si>
  <si>
    <t>Nashik Natural</t>
  </si>
  <si>
    <t>Curry Leaves Powder</t>
  </si>
  <si>
    <t>MM044</t>
  </si>
  <si>
    <t>Aurangabad Aroma</t>
  </si>
  <si>
    <t>Rajma Masala</t>
  </si>
  <si>
    <t>MM045</t>
  </si>
  <si>
    <t>Kolhapur Kraft</t>
  </si>
  <si>
    <t>Meat Masala</t>
  </si>
  <si>
    <t>MM046</t>
  </si>
  <si>
    <t>Nagpur Nouvelle</t>
  </si>
  <si>
    <t>Fish Masala</t>
  </si>
  <si>
    <t>MM047</t>
  </si>
  <si>
    <t>Thane Taste</t>
  </si>
  <si>
    <t>Chicken Masala</t>
  </si>
  <si>
    <t>MM048</t>
  </si>
  <si>
    <t>Mumbai Modern</t>
  </si>
  <si>
    <t>Kitchen King Masala</t>
  </si>
  <si>
    <t>MM049</t>
  </si>
  <si>
    <t>Pune Perfect</t>
  </si>
  <si>
    <t>Chana Masala</t>
  </si>
  <si>
    <t>MM050</t>
  </si>
  <si>
    <t>Final Order Cafe</t>
  </si>
  <si>
    <t>Mixed Spice Powder</t>
  </si>
  <si>
    <t>Status</t>
  </si>
  <si>
    <t>Total records</t>
  </si>
  <si>
    <t>Missing values</t>
  </si>
  <si>
    <t>Date Range</t>
  </si>
  <si>
    <t>Array Functions</t>
  </si>
  <si>
    <t>List all cities</t>
  </si>
  <si>
    <t>List all categories</t>
  </si>
  <si>
    <t>Count Categories</t>
  </si>
  <si>
    <t>High Value - Order</t>
  </si>
  <si>
    <t>Sort by total amount - dec</t>
  </si>
  <si>
    <t>Find profit for a specific customer</t>
  </si>
  <si>
    <t>Revenue by Category</t>
  </si>
  <si>
    <t>Revenue by City</t>
  </si>
  <si>
    <t>Performance by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</si>
</sst>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[DA26.xlsx]Pivot!PivotTable1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Pivot!$B$3:$B$4</c:f>
              <c:strCache>
                <c:ptCount val="1"/>
                <c:pt idx="0">
                  <c:v>Amit Kumar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Pivot!$A$5:$A$8</c:f>
              <c:strCache>
                <c:ptCount val="3"/>
                <c:pt idx="0">
                  <c:v>Ground Spices</c:v>
                </c:pt>
                <c:pt idx="1">
                  <c:v>Spice Blends</c:v>
                </c:pt>
                <c:pt idx="2">
                  <c:v>Whole Spices</c:v>
                </c:pt>
              </c:strCache>
            </c:strRef>
          </c:cat>
          <c:val>
            <c:numRef>
              <c:f>Pivot!$B$5:$B$8</c:f>
              <c:numCache>
                <c:formatCode>General</c:formatCode>
                <c:ptCount val="3"/>
                <c:pt idx="0">
                  <c:v>28670</c:v>
                </c:pt>
                <c:pt idx="1">
                  <c:v>15720</c:v>
                </c:pt>
                <c:pt idx="2">
                  <c:v>14900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6-480D-8898-3DE2631C8D1C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Priya Patel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Pivot!$A$5:$A$8</c:f>
              <c:strCache>
                <c:ptCount val="3"/>
                <c:pt idx="0">
                  <c:v>Ground Spices</c:v>
                </c:pt>
                <c:pt idx="1">
                  <c:v>Spice Blends</c:v>
                </c:pt>
                <c:pt idx="2">
                  <c:v>Whole Spices</c:v>
                </c:pt>
              </c:strCache>
            </c:strRef>
          </c:cat>
          <c:val>
            <c:numRef>
              <c:f>Pivot!$C$5:$C$8</c:f>
              <c:numCache>
                <c:formatCode>General</c:formatCode>
                <c:ptCount val="3"/>
                <c:pt idx="0">
                  <c:v>18000</c:v>
                </c:pt>
                <c:pt idx="1">
                  <c:v>30120</c:v>
                </c:pt>
                <c:pt idx="2">
                  <c:v>13100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06-480D-8898-3DE2631C8D1C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Ramesh Gupta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Pivot!$A$5:$A$8</c:f>
              <c:strCache>
                <c:ptCount val="3"/>
                <c:pt idx="0">
                  <c:v>Ground Spices</c:v>
                </c:pt>
                <c:pt idx="1">
                  <c:v>Spice Blends</c:v>
                </c:pt>
                <c:pt idx="2">
                  <c:v>Whole Spices</c:v>
                </c:pt>
              </c:strCache>
            </c:strRef>
          </c:cat>
          <c:val>
            <c:numRef>
              <c:f>Pivot!$D$5:$D$8</c:f>
              <c:numCache>
                <c:formatCode>General</c:formatCode>
                <c:ptCount val="3"/>
                <c:pt idx="0">
                  <c:v>16680</c:v>
                </c:pt>
                <c:pt idx="1">
                  <c:v>18270</c:v>
                </c:pt>
                <c:pt idx="2">
                  <c:v>10160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06-480D-8898-3DE2631C8D1C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Sunita Singh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Pivot!$A$5:$A$8</c:f>
              <c:strCache>
                <c:ptCount val="3"/>
                <c:pt idx="0">
                  <c:v>Ground Spices</c:v>
                </c:pt>
                <c:pt idx="1">
                  <c:v>Spice Blends</c:v>
                </c:pt>
                <c:pt idx="2">
                  <c:v>Whole Spices</c:v>
                </c:pt>
              </c:strCache>
            </c:strRef>
          </c:cat>
          <c:val>
            <c:numRef>
              <c:f>Pivot!$E$5:$E$8</c:f>
              <c:numCache>
                <c:formatCode>General</c:formatCode>
                <c:ptCount val="3"/>
                <c:pt idx="0">
                  <c:v>10180</c:v>
                </c:pt>
                <c:pt idx="1">
                  <c:v>10620</c:v>
                </c:pt>
                <c:pt idx="2">
                  <c:v>25360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06-480D-8898-3DE2631C8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971550</xdr:colOff>
      <xdr:row>6</xdr:row>
      <xdr:rowOff>38100</xdr:rowOff>
    </xdr:from>
    <xdr:to>
      <xdr:col>8</xdr:col>
      <xdr:colOff>171450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5A23F-412D-EE1F-E20B-0FA4C5337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3.453982754632" createdVersion="8" refreshedVersion="8" minRefreshableVersion="3" recordCount="50" xr:uid="{E83ECB71-E09B-4E55-9229-A9FD964FFBBC}">
  <cacheSource type="worksheet">
    <worksheetSource name="SalesTable"/>
  </cacheSource>
  <cacheFields count="13">
    <cacheField name="Order_ID" numFmtId="0">
      <sharedItems/>
    </cacheField>
    <cacheField name="Date" numFmtId="164">
      <sharedItems containsSemiMixedTypes="0" containsNonDate="0" containsDate="1" containsString="0" minDate="2024-01-15T00:00:00" maxDate="2024-06-26T00:00:00"/>
    </cacheField>
    <cacheField name="Salesperson" numFmtId="0">
      <sharedItems count="4">
        <s v="Priya Patel"/>
        <s v="Amit Kumar"/>
        <s v="Sunita Singh"/>
        <s v="Ramesh Gupta"/>
      </sharedItems>
    </cacheField>
    <cacheField name="Customer_Name" numFmtId="0">
      <sharedItems/>
    </cacheField>
    <cacheField name="City" numFmtId="0">
      <sharedItems/>
    </cacheField>
    <cacheField name="State" numFmtId="0">
      <sharedItems/>
    </cacheField>
    <cacheField name="Spice_Name" numFmtId="0">
      <sharedItems/>
    </cacheField>
    <cacheField name="Category" numFmtId="0">
      <sharedItems count="3">
        <s v="Ground Spices"/>
        <s v="Spice Blends"/>
        <s v="Whole Spices"/>
      </sharedItems>
    </cacheField>
    <cacheField name="Quantity_KG" numFmtId="0">
      <sharedItems containsSemiMixedTypes="0" containsString="0" containsNumber="1" containsInteger="1" minValue="1" maxValue="40"/>
    </cacheField>
    <cacheField name="Price_Per_KG" numFmtId="0">
      <sharedItems containsSemiMixedTypes="0" containsString="0" containsNumber="1" containsInteger="1" minValue="120" maxValue="3000"/>
    </cacheField>
    <cacheField name="Total_Amount" numFmtId="0">
      <sharedItems containsSemiMixedTypes="0" containsString="0" containsNumber="1" containsInteger="1" minValue="1800" maxValue="7200"/>
    </cacheField>
    <cacheField name="Cost_Per_KG" numFmtId="0">
      <sharedItems containsSemiMixedTypes="0" containsString="0" containsNumber="1" containsInteger="1" minValue="80" maxValue="2200"/>
    </cacheField>
    <cacheField name="Profit" numFmtId="0">
      <sharedItems containsSemiMixedTypes="0" containsString="0" containsNumber="1" containsInteger="1" minValue="500" maxValue="2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MM001"/>
    <d v="2024-01-15T00:00:00"/>
    <x v="0"/>
    <s v="Taj Restaurant"/>
    <s v="Mumbai"/>
    <s v="Maharashtra"/>
    <s v="Turmeric Powder"/>
    <x v="0"/>
    <n v="25"/>
    <n v="180"/>
    <n v="4500"/>
    <n v="120"/>
    <n v="1500"/>
  </r>
  <r>
    <s v="MM002"/>
    <d v="2024-01-16T00:00:00"/>
    <x v="1"/>
    <s v="Spice Garden Cafe"/>
    <s v="Pune"/>
    <s v="Maharashtra"/>
    <s v="Red Chili Powder"/>
    <x v="0"/>
    <n v="15"/>
    <n v="220"/>
    <n v="3300"/>
    <n v="150"/>
    <n v="1050"/>
  </r>
  <r>
    <s v="MM003"/>
    <d v="2024-01-18T00:00:00"/>
    <x v="2"/>
    <s v="Royal Kitchen"/>
    <s v="Mumbai"/>
    <s v="Maharashtra"/>
    <s v="Garam Masala"/>
    <x v="1"/>
    <n v="10"/>
    <n v="450"/>
    <n v="4500"/>
    <n v="300"/>
    <n v="1500"/>
  </r>
  <r>
    <s v="MM004"/>
    <d v="2024-01-20T00:00:00"/>
    <x v="0"/>
    <s v="Maharaja Dhaba"/>
    <s v="Nashik"/>
    <s v="Maharashtra"/>
    <s v="Cumin Seeds"/>
    <x v="2"/>
    <n v="30"/>
    <n v="160"/>
    <n v="4800"/>
    <n v="110"/>
    <n v="1500"/>
  </r>
  <r>
    <s v="MM005"/>
    <d v="2024-01-22T00:00:00"/>
    <x v="3"/>
    <s v="Bombay Bites"/>
    <s v="Mumbai"/>
    <s v="Maharashtra"/>
    <s v="Coriander Powder"/>
    <x v="0"/>
    <n v="20"/>
    <n v="140"/>
    <n v="2800"/>
    <n v="95"/>
    <n v="900"/>
  </r>
  <r>
    <s v="MM006"/>
    <d v="2024-01-25T00:00:00"/>
    <x v="1"/>
    <s v="Sagar Restaurant"/>
    <s v="Pune"/>
    <s v="Maharashtra"/>
    <s v="Black Pepper"/>
    <x v="2"/>
    <n v="5"/>
    <n v="800"/>
    <n v="4000"/>
    <n v="600"/>
    <n v="1000"/>
  </r>
  <r>
    <s v="MM007"/>
    <d v="2024-01-28T00:00:00"/>
    <x v="2"/>
    <s v="Krishna Cafe"/>
    <s v="Nagpur"/>
    <s v="Maharashtra"/>
    <s v="Cardamom"/>
    <x v="2"/>
    <n v="2"/>
    <n v="2500"/>
    <n v="5000"/>
    <n v="2000"/>
    <n v="1000"/>
  </r>
  <r>
    <s v="MM008"/>
    <d v="2024-02-02T00:00:00"/>
    <x v="0"/>
    <s v="Golden Spoon"/>
    <s v="Mumbai"/>
    <s v="Maharashtra"/>
    <s v="Turmeric Powder"/>
    <x v="0"/>
    <n v="35"/>
    <n v="180"/>
    <n v="6300"/>
    <n v="120"/>
    <n v="2100"/>
  </r>
  <r>
    <s v="MM009"/>
    <d v="2024-02-05T00:00:00"/>
    <x v="3"/>
    <s v="Pune Palace"/>
    <s v="Pune"/>
    <s v="Maharashtra"/>
    <s v="Biryani Masala"/>
    <x v="1"/>
    <n v="12"/>
    <n v="380"/>
    <n v="4560"/>
    <n v="250"/>
    <n v="1560"/>
  </r>
  <r>
    <s v="MM010"/>
    <d v="2024-02-08T00:00:00"/>
    <x v="1"/>
    <s v="Marathi Mandir"/>
    <s v="Pune"/>
    <s v="Maharashtra"/>
    <s v="Red Chili Powder"/>
    <x v="0"/>
    <n v="28"/>
    <n v="220"/>
    <n v="6160"/>
    <n v="150"/>
    <n v="1960"/>
  </r>
  <r>
    <s v="MM011"/>
    <d v="2024-02-12T00:00:00"/>
    <x v="2"/>
    <s v="Deccan Delights"/>
    <s v="Pune"/>
    <s v="Maharashtra"/>
    <s v="Mustard Seeds"/>
    <x v="2"/>
    <n v="18"/>
    <n v="120"/>
    <n v="2160"/>
    <n v="80"/>
    <n v="720"/>
  </r>
  <r>
    <s v="MM012"/>
    <d v="2024-02-15T00:00:00"/>
    <x v="0"/>
    <s v="Mumbai Masala"/>
    <s v="Mumbai"/>
    <s v="Maharashtra"/>
    <s v="Garam Masala"/>
    <x v="1"/>
    <n v="8"/>
    <n v="450"/>
    <n v="3600"/>
    <n v="300"/>
    <n v="1200"/>
  </r>
  <r>
    <s v="MM013"/>
    <d v="2024-02-18T00:00:00"/>
    <x v="3"/>
    <s v="Nashik Nosh"/>
    <s v="Nashik"/>
    <s v="Maharashtra"/>
    <s v="Cumin Seeds"/>
    <x v="2"/>
    <n v="25"/>
    <n v="160"/>
    <n v="4000"/>
    <n v="110"/>
    <n v="1250"/>
  </r>
  <r>
    <s v="MM014"/>
    <d v="2024-02-22T00:00:00"/>
    <x v="1"/>
    <s v="Spicy Affairs"/>
    <s v="Pune"/>
    <s v="Maharashtra"/>
    <s v="Black Pepper"/>
    <x v="2"/>
    <n v="7"/>
    <n v="800"/>
    <n v="5600"/>
    <n v="600"/>
    <n v="1400"/>
  </r>
  <r>
    <s v="MM015"/>
    <d v="2024-02-25T00:00:00"/>
    <x v="2"/>
    <s v="Royal Kitchen"/>
    <s v="Mumbai"/>
    <s v="Maharashtra"/>
    <s v="Cinnamon Sticks"/>
    <x v="2"/>
    <n v="3"/>
    <n v="1200"/>
    <n v="3600"/>
    <n v="900"/>
    <n v="900"/>
  </r>
  <r>
    <s v="MM016"/>
    <d v="2024-03-01T00:00:00"/>
    <x v="0"/>
    <s v="Aurangabad Eats"/>
    <s v="Aurangabad"/>
    <s v="Maharashtra"/>
    <s v="Turmeric Powder"/>
    <x v="0"/>
    <n v="40"/>
    <n v="180"/>
    <n v="7200"/>
    <n v="120"/>
    <n v="2400"/>
  </r>
  <r>
    <s v="MM017"/>
    <d v="2024-03-05T00:00:00"/>
    <x v="3"/>
    <s v="Kolhapur Kitchen"/>
    <s v="Kolhapur"/>
    <s v="Maharashtra"/>
    <s v="Kolhapuri Masala"/>
    <x v="1"/>
    <n v="15"/>
    <n v="350"/>
    <n v="5250"/>
    <n v="220"/>
    <n v="1950"/>
  </r>
  <r>
    <s v="MM018"/>
    <d v="2024-03-08T00:00:00"/>
    <x v="1"/>
    <s v="Solapur Spices"/>
    <s v="Solapur"/>
    <s v="Maharashtra"/>
    <s v="Red Chili Powder"/>
    <x v="0"/>
    <n v="22"/>
    <n v="220"/>
    <n v="4840"/>
    <n v="150"/>
    <n v="1540"/>
  </r>
  <r>
    <s v="MM019"/>
    <d v="2024-03-12T00:00:00"/>
    <x v="2"/>
    <s v="Nagpur Nights"/>
    <s v="Nagpur"/>
    <s v="Maharashtra"/>
    <s v="Orange Peel Powder"/>
    <x v="0"/>
    <n v="8"/>
    <n v="300"/>
    <n v="2400"/>
    <n v="200"/>
    <n v="800"/>
  </r>
  <r>
    <s v="MM020"/>
    <d v="2024-03-15T00:00:00"/>
    <x v="0"/>
    <s v="Mumbai Central"/>
    <s v="Mumbai"/>
    <s v="Maharashtra"/>
    <s v="Chat Masala"/>
    <x v="1"/>
    <n v="20"/>
    <n v="280"/>
    <n v="5600"/>
    <n v="180"/>
    <n v="2000"/>
  </r>
  <r>
    <s v="MM021"/>
    <d v="2024-03-18T00:00:00"/>
    <x v="3"/>
    <s v="Dhule Dining"/>
    <s v="Dhule"/>
    <s v="Maharashtra"/>
    <s v="Coriander Seeds"/>
    <x v="2"/>
    <n v="32"/>
    <n v="130"/>
    <n v="4160"/>
    <n v="90"/>
    <n v="1280"/>
  </r>
  <r>
    <s v="MM022"/>
    <d v="2024-03-22T00:00:00"/>
    <x v="1"/>
    <s v="Pune Express"/>
    <s v="Pune"/>
    <s v="Maharashtra"/>
    <s v="Fennel Seeds"/>
    <x v="2"/>
    <n v="14"/>
    <n v="200"/>
    <n v="2800"/>
    <n v="140"/>
    <n v="840"/>
  </r>
  <r>
    <s v="MM023"/>
    <d v="2024-03-25T00:00:00"/>
    <x v="2"/>
    <s v="Latur Lunch"/>
    <s v="Latur"/>
    <s v="Maharashtra"/>
    <s v="Fenugreek Seeds"/>
    <x v="2"/>
    <n v="10"/>
    <n v="180"/>
    <n v="1800"/>
    <n v="120"/>
    <n v="600"/>
  </r>
  <r>
    <s v="MM024"/>
    <d v="2024-03-28T00:00:00"/>
    <x v="0"/>
    <s v="Thane Tiffin"/>
    <s v="Thane"/>
    <s v="Maharashtra"/>
    <s v="Sambhar Masala"/>
    <x v="1"/>
    <n v="18"/>
    <n v="320"/>
    <n v="5760"/>
    <n v="200"/>
    <n v="2160"/>
  </r>
  <r>
    <s v="MM025"/>
    <d v="2024-04-02T00:00:00"/>
    <x v="3"/>
    <s v="Sangli Sweets"/>
    <s v="Sangli"/>
    <s v="Maharashtra"/>
    <s v="Turmeric Powder"/>
    <x v="0"/>
    <n v="30"/>
    <n v="180"/>
    <n v="5400"/>
    <n v="120"/>
    <n v="1800"/>
  </r>
  <r>
    <s v="MM026"/>
    <d v="2024-04-05T00:00:00"/>
    <x v="1"/>
    <s v="Satara Snacks"/>
    <s v="Satara"/>
    <s v="Maharashtra"/>
    <s v="Red Chili Powder"/>
    <x v="0"/>
    <n v="26"/>
    <n v="220"/>
    <n v="5720"/>
    <n v="150"/>
    <n v="1820"/>
  </r>
  <r>
    <s v="MM027"/>
    <d v="2024-04-08T00:00:00"/>
    <x v="2"/>
    <s v="Ahmednagar Appetite"/>
    <s v="Ahmednagar"/>
    <s v="Maharashtra"/>
    <s v="Cumin Seeds"/>
    <x v="2"/>
    <n v="35"/>
    <n v="160"/>
    <n v="5600"/>
    <n v="110"/>
    <n v="1750"/>
  </r>
  <r>
    <s v="MM028"/>
    <d v="2024-04-12T00:00:00"/>
    <x v="0"/>
    <s v="Beed Bites"/>
    <s v="Beed"/>
    <s v="Maharashtra"/>
    <s v="Black Mustard Seeds"/>
    <x v="2"/>
    <n v="12"/>
    <n v="150"/>
    <n v="1800"/>
    <n v="100"/>
    <n v="600"/>
  </r>
  <r>
    <s v="MM029"/>
    <d v="2024-04-15T00:00:00"/>
    <x v="3"/>
    <s v="Jalgaon Junction"/>
    <s v="Jalgaon"/>
    <s v="Maharashtra"/>
    <s v="Banana Powder"/>
    <x v="0"/>
    <n v="6"/>
    <n v="400"/>
    <n v="2400"/>
    <n v="280"/>
    <n v="720"/>
  </r>
  <r>
    <s v="MM030"/>
    <d v="2024-04-18T00:00:00"/>
    <x v="1"/>
    <s v="Akola Appetite"/>
    <s v="Akola"/>
    <s v="Maharashtra"/>
    <s v="Garam Masala"/>
    <x v="1"/>
    <n v="14"/>
    <n v="450"/>
    <n v="6300"/>
    <n v="300"/>
    <n v="2100"/>
  </r>
  <r>
    <s v="MM031"/>
    <d v="2024-04-22T00:00:00"/>
    <x v="2"/>
    <s v="Wardha Wonders"/>
    <s v="Wardha"/>
    <s v="Maharashtra"/>
    <s v="Bay Leaves"/>
    <x v="2"/>
    <n v="4"/>
    <n v="600"/>
    <n v="2400"/>
    <n v="450"/>
    <n v="600"/>
  </r>
  <r>
    <s v="MM032"/>
    <d v="2024-04-25T00:00:00"/>
    <x v="0"/>
    <s v="Yavatmal Yummy"/>
    <s v="Yavatmal"/>
    <s v="Maharashtra"/>
    <s v="Star Anise"/>
    <x v="2"/>
    <n v="2"/>
    <n v="1000"/>
    <n v="2000"/>
    <n v="750"/>
    <n v="500"/>
  </r>
  <r>
    <s v="MM033"/>
    <d v="2024-04-28T00:00:00"/>
    <x v="3"/>
    <s v="Buldhana Bites"/>
    <s v="Buldhana"/>
    <s v="Maharashtra"/>
    <s v="Asafoetida"/>
    <x v="0"/>
    <n v="1"/>
    <n v="3000"/>
    <n v="3000"/>
    <n v="2200"/>
    <n v="800"/>
  </r>
  <r>
    <s v="MM034"/>
    <d v="2024-05-02T00:00:00"/>
    <x v="1"/>
    <s v="Washim Wok"/>
    <s v="Washim"/>
    <s v="Maharashtra"/>
    <s v="Turmeric Powder"/>
    <x v="0"/>
    <n v="28"/>
    <n v="180"/>
    <n v="5040"/>
    <n v="120"/>
    <n v="1680"/>
  </r>
  <r>
    <s v="MM035"/>
    <d v="2024-05-05T00:00:00"/>
    <x v="2"/>
    <s v="Hingoli Kitchen"/>
    <s v="Hingoli"/>
    <s v="Maharashtra"/>
    <s v="Red Chili Powder"/>
    <x v="0"/>
    <n v="24"/>
    <n v="220"/>
    <n v="5280"/>
    <n v="150"/>
    <n v="1680"/>
  </r>
  <r>
    <s v="MM036"/>
    <d v="2024-05-08T00:00:00"/>
    <x v="0"/>
    <s v="Nanded Nosh"/>
    <s v="Nanded"/>
    <s v="Maharashtra"/>
    <s v="Pav Bhaji Masala"/>
    <x v="1"/>
    <n v="16"/>
    <n v="300"/>
    <n v="4800"/>
    <n v="190"/>
    <n v="1760"/>
  </r>
  <r>
    <s v="MM037"/>
    <d v="2024-05-12T00:00:00"/>
    <x v="3"/>
    <s v="Parbhani Palace"/>
    <s v="Parbhani"/>
    <s v="Maharashtra"/>
    <s v="Coriander Powder"/>
    <x v="0"/>
    <n v="22"/>
    <n v="140"/>
    <n v="3080"/>
    <n v="95"/>
    <n v="990"/>
  </r>
  <r>
    <s v="MM038"/>
    <d v="2024-05-15T00:00:00"/>
    <x v="1"/>
    <s v="Jalna Journey"/>
    <s v="Jalna"/>
    <s v="Maharashtra"/>
    <s v="Cumin Powder"/>
    <x v="0"/>
    <n v="19"/>
    <n v="190"/>
    <n v="3610"/>
    <n v="130"/>
    <n v="1140"/>
  </r>
  <r>
    <s v="MM039"/>
    <d v="2024-05-18T00:00:00"/>
    <x v="2"/>
    <s v="Osmanabad Organic"/>
    <s v="Osmanabad"/>
    <s v="Maharashtra"/>
    <s v="Black Pepper"/>
    <x v="2"/>
    <n v="6"/>
    <n v="800"/>
    <n v="4800"/>
    <n v="600"/>
    <n v="1200"/>
  </r>
  <r>
    <s v="MM040"/>
    <d v="2024-05-22T00:00:00"/>
    <x v="0"/>
    <s v="Solapur Supreme"/>
    <s v="Solapur"/>
    <s v="Maharashtra"/>
    <s v="Cloves"/>
    <x v="2"/>
    <n v="3"/>
    <n v="1500"/>
    <n v="4500"/>
    <n v="1200"/>
    <n v="900"/>
  </r>
  <r>
    <s v="MM041"/>
    <d v="2024-05-25T00:00:00"/>
    <x v="3"/>
    <s v="Pune Premium"/>
    <s v="Pune"/>
    <s v="Maharashtra"/>
    <s v="Nutmeg"/>
    <x v="2"/>
    <n v="1"/>
    <n v="2000"/>
    <n v="2000"/>
    <n v="1500"/>
    <n v="500"/>
  </r>
  <r>
    <s v="MM042"/>
    <d v="2024-05-28T00:00:00"/>
    <x v="1"/>
    <s v="Mumbai Magic"/>
    <s v="Mumbai"/>
    <s v="Maharashtra"/>
    <s v="Mace"/>
    <x v="2"/>
    <n v="1"/>
    <n v="2500"/>
    <n v="2500"/>
    <n v="2000"/>
    <n v="500"/>
  </r>
  <r>
    <s v="MM043"/>
    <d v="2024-06-02T00:00:00"/>
    <x v="2"/>
    <s v="Nashik Natural"/>
    <s v="Nashik"/>
    <s v="Maharashtra"/>
    <s v="Curry Leaves Powder"/>
    <x v="0"/>
    <n v="10"/>
    <n v="250"/>
    <n v="2500"/>
    <n v="180"/>
    <n v="700"/>
  </r>
  <r>
    <s v="MM044"/>
    <d v="2024-06-05T00:00:00"/>
    <x v="0"/>
    <s v="Aurangabad Aroma"/>
    <s v="Aurangabad"/>
    <s v="Maharashtra"/>
    <s v="Rajma Masala"/>
    <x v="1"/>
    <n v="13"/>
    <n v="280"/>
    <n v="3640"/>
    <n v="180"/>
    <n v="1300"/>
  </r>
  <r>
    <s v="MM045"/>
    <d v="2024-06-08T00:00:00"/>
    <x v="3"/>
    <s v="Kolhapur Kraft"/>
    <s v="Kolhapur"/>
    <s v="Maharashtra"/>
    <s v="Meat Masala"/>
    <x v="1"/>
    <n v="11"/>
    <n v="400"/>
    <n v="4400"/>
    <n v="260"/>
    <n v="1540"/>
  </r>
  <r>
    <s v="MM046"/>
    <d v="2024-06-12T00:00:00"/>
    <x v="1"/>
    <s v="Nagpur Nouvelle"/>
    <s v="Nagpur"/>
    <s v="Maharashtra"/>
    <s v="Fish Masala"/>
    <x v="1"/>
    <n v="9"/>
    <n v="380"/>
    <n v="3420"/>
    <n v="240"/>
    <n v="1260"/>
  </r>
  <r>
    <s v="MM047"/>
    <d v="2024-06-15T00:00:00"/>
    <x v="2"/>
    <s v="Thane Taste"/>
    <s v="Thane"/>
    <s v="Maharashtra"/>
    <s v="Chicken Masala"/>
    <x v="1"/>
    <n v="17"/>
    <n v="360"/>
    <n v="6120"/>
    <n v="230"/>
    <n v="2210"/>
  </r>
  <r>
    <s v="MM048"/>
    <d v="2024-06-18T00:00:00"/>
    <x v="0"/>
    <s v="Mumbai Modern"/>
    <s v="Mumbai"/>
    <s v="Maharashtra"/>
    <s v="Kitchen King Masala"/>
    <x v="1"/>
    <n v="21"/>
    <n v="320"/>
    <n v="6720"/>
    <n v="200"/>
    <n v="2520"/>
  </r>
  <r>
    <s v="MM049"/>
    <d v="2024-06-22T00:00:00"/>
    <x v="3"/>
    <s v="Pune Perfect"/>
    <s v="Pune"/>
    <s v="Maharashtra"/>
    <s v="Chana Masala"/>
    <x v="1"/>
    <n v="14"/>
    <n v="290"/>
    <n v="4060"/>
    <n v="185"/>
    <n v="1470"/>
  </r>
  <r>
    <s v="MM050"/>
    <d v="2024-06-25T00:00:00"/>
    <x v="1"/>
    <s v="Final Order Cafe"/>
    <s v="Mumbai"/>
    <s v="Maharashtra"/>
    <s v="Mixed Spice Powder"/>
    <x v="1"/>
    <n v="25"/>
    <n v="240"/>
    <n v="6000"/>
    <n v="160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0AEFF-AD52-4196-81F5-C8F3212BE9CF}" name="PivotTable1" cacheId="48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8" firstHeaderRow="1" firstDataRow="2" firstDataCol="1"/>
  <pivotFields count="13">
    <pivotField compact="0" outline="0" showAll="0"/>
    <pivotField compact="0" numFmtId="164" outline="0" showAll="0"/>
    <pivotField axis="axisCol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Amount" fld="1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7C3846-6553-4D85-A0C0-1A44DC9A9101}" name="SalesTable" displayName="SalesTable" ref="A1:M51" totalsRowShown="0">
  <autoFilter ref="A1:M51" xr:uid="{837C3846-6553-4D85-A0C0-1A44DC9A9101}"/>
  <tableColumns count="13">
    <tableColumn id="1" xr3:uid="{F6569526-6C21-452E-8998-93F630896084}" name="Order_ID"/>
    <tableColumn id="2" xr3:uid="{9E2BCB61-0FDC-4808-8140-4D1E82FB6AC8}" name="Date" dataDxfId="0"/>
    <tableColumn id="3" xr3:uid="{B9E190A0-C363-40C9-92F4-8A335E63718F}" name="Salesperson"/>
    <tableColumn id="4" xr3:uid="{88EBA2A0-6429-4D28-ABF5-56AEE0ACFF11}" name="Customer_Name"/>
    <tableColumn id="5" xr3:uid="{C67324F5-E0AF-46EC-BAB9-45CEC2696411}" name="City"/>
    <tableColumn id="6" xr3:uid="{1856E26A-860B-4A40-B212-E4F885846A8C}" name="State"/>
    <tableColumn id="7" xr3:uid="{DC28E1A7-AF22-4D63-B76E-7D8C4E7EE738}" name="Spice_Name"/>
    <tableColumn id="8" xr3:uid="{A795CBF9-B969-4A8D-936D-229F3C8DFDE4}" name="Category"/>
    <tableColumn id="9" xr3:uid="{04F2EBD4-2193-4CC2-AF2F-B0E7D9A11856}" name="Quantity_KG"/>
    <tableColumn id="10" xr3:uid="{CCE19821-D1B4-4FA0-A47D-B2D846DF0626}" name="Price_Per_KG"/>
    <tableColumn id="11" xr3:uid="{B1B5D649-9E66-4C88-BEB7-CF6450692DB6}" name="Total_Amount"/>
    <tableColumn id="12" xr3:uid="{D6E2C94B-33F7-412E-AAFF-BDCD34465BDF}" name="Cost_Per_KG"/>
    <tableColumn id="13" xr3:uid="{6BF381C9-CDB1-4553-A0BC-0773ABC73A5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98B0-D9EE-422C-A12E-9BC291FAF9A9}">
  <dimension ref="A3:F14"/>
  <sheetViews>
    <sheetView tabSelected="1" workbookViewId="0"/>
  </sheetViews>
  <sheetFormatPr defaultRowHeight="15"/>
  <cols>
    <col min="1" max="1" width="20.7109375" bestFit="1" customWidth="1"/>
    <col min="2" max="2" width="14.7109375" bestFit="1" customWidth="1"/>
    <col min="3" max="3" width="10.42578125" bestFit="1" customWidth="1"/>
    <col min="4" max="4" width="13.85546875" bestFit="1" customWidth="1"/>
    <col min="5" max="5" width="11.85546875" bestFit="1" customWidth="1"/>
    <col min="6" max="6" width="11.42578125" bestFit="1" customWidth="1"/>
  </cols>
  <sheetData>
    <row r="3" spans="1:6">
      <c r="A3" s="5" t="s">
        <v>0</v>
      </c>
      <c r="B3" s="5" t="s">
        <v>1</v>
      </c>
    </row>
    <row r="4" spans="1:6">
      <c r="A4" s="5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s="6">
        <v>28670</v>
      </c>
      <c r="C5" s="6">
        <v>18000</v>
      </c>
      <c r="D5" s="6">
        <v>16680</v>
      </c>
      <c r="E5" s="6">
        <v>10180</v>
      </c>
      <c r="F5" s="6">
        <v>73530</v>
      </c>
    </row>
    <row r="6" spans="1:6">
      <c r="A6" t="s">
        <v>9</v>
      </c>
      <c r="B6" s="6">
        <v>15720</v>
      </c>
      <c r="C6" s="6">
        <v>30120</v>
      </c>
      <c r="D6" s="6">
        <v>18270</v>
      </c>
      <c r="E6" s="6">
        <v>10620</v>
      </c>
      <c r="F6" s="6">
        <v>74730</v>
      </c>
    </row>
    <row r="7" spans="1:6">
      <c r="A7" t="s">
        <v>10</v>
      </c>
      <c r="B7" s="6">
        <v>14900</v>
      </c>
      <c r="C7" s="6">
        <v>13100</v>
      </c>
      <c r="D7" s="6">
        <v>10160</v>
      </c>
      <c r="E7" s="6">
        <v>25360</v>
      </c>
      <c r="F7" s="6">
        <v>63520</v>
      </c>
    </row>
    <row r="8" spans="1:6">
      <c r="A8" t="s">
        <v>7</v>
      </c>
      <c r="B8" s="6">
        <v>59290</v>
      </c>
      <c r="C8" s="6">
        <v>61220</v>
      </c>
      <c r="D8" s="6">
        <v>45110</v>
      </c>
      <c r="E8" s="6">
        <v>46160</v>
      </c>
      <c r="F8" s="6">
        <v>211780</v>
      </c>
    </row>
    <row r="12" spans="1:6">
      <c r="A12" t="s">
        <v>11</v>
      </c>
    </row>
    <row r="13" spans="1:6">
      <c r="A13" t="s">
        <v>12</v>
      </c>
    </row>
    <row r="14" spans="1:6">
      <c r="A14" t="s">
        <v>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workbookViewId="0">
      <pane ySplit="1" topLeftCell="I2" activePane="bottomLeft" state="frozen"/>
      <selection pane="bottomLeft" activeCell="N7" sqref="N7"/>
    </sheetView>
  </sheetViews>
  <sheetFormatPr defaultRowHeight="15"/>
  <cols>
    <col min="1" max="1" width="11.28515625" bestFit="1" customWidth="1"/>
    <col min="2" max="2" width="10.28515625" bestFit="1" customWidth="1"/>
    <col min="3" max="3" width="13.85546875" bestFit="1" customWidth="1"/>
    <col min="4" max="4" width="20.140625" bestFit="1" customWidth="1"/>
    <col min="5" max="5" width="12" bestFit="1" customWidth="1"/>
    <col min="6" max="6" width="12.140625" bestFit="1" customWidth="1"/>
    <col min="7" max="7" width="19.140625" bestFit="1" customWidth="1"/>
    <col min="8" max="8" width="13.42578125" bestFit="1" customWidth="1"/>
    <col min="9" max="9" width="14.5703125" bestFit="1" customWidth="1"/>
    <col min="10" max="10" width="15.140625" bestFit="1" customWidth="1"/>
    <col min="11" max="11" width="16" bestFit="1" customWidth="1"/>
    <col min="12" max="12" width="14.7109375" bestFit="1" customWidth="1"/>
  </cols>
  <sheetData>
    <row r="1" spans="1:13">
      <c r="A1" t="s">
        <v>14</v>
      </c>
      <c r="B1" t="s">
        <v>15</v>
      </c>
      <c r="C1" t="s">
        <v>1</v>
      </c>
      <c r="D1" t="s">
        <v>16</v>
      </c>
      <c r="E1" t="s">
        <v>17</v>
      </c>
      <c r="F1" t="s">
        <v>18</v>
      </c>
      <c r="G1" t="s">
        <v>19</v>
      </c>
      <c r="H1" t="s">
        <v>2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 t="s">
        <v>25</v>
      </c>
      <c r="B2" s="1">
        <v>45306</v>
      </c>
      <c r="C2" t="s">
        <v>4</v>
      </c>
      <c r="D2" t="s">
        <v>26</v>
      </c>
      <c r="E2" t="s">
        <v>27</v>
      </c>
      <c r="F2" t="s">
        <v>28</v>
      </c>
      <c r="G2" t="s">
        <v>29</v>
      </c>
      <c r="H2" t="s">
        <v>8</v>
      </c>
      <c r="I2">
        <v>25</v>
      </c>
      <c r="J2">
        <v>180</v>
      </c>
      <c r="K2">
        <v>4500</v>
      </c>
      <c r="L2">
        <v>120</v>
      </c>
      <c r="M2">
        <v>1500</v>
      </c>
    </row>
    <row r="3" spans="1:13">
      <c r="A3" t="s">
        <v>30</v>
      </c>
      <c r="B3" s="1">
        <v>45307</v>
      </c>
      <c r="C3" t="s">
        <v>3</v>
      </c>
      <c r="D3" t="s">
        <v>31</v>
      </c>
      <c r="E3" t="s">
        <v>32</v>
      </c>
      <c r="F3" t="s">
        <v>28</v>
      </c>
      <c r="G3" t="s">
        <v>33</v>
      </c>
      <c r="H3" t="s">
        <v>8</v>
      </c>
      <c r="I3">
        <v>15</v>
      </c>
      <c r="J3">
        <v>220</v>
      </c>
      <c r="K3">
        <v>3300</v>
      </c>
      <c r="L3">
        <v>150</v>
      </c>
      <c r="M3">
        <v>1050</v>
      </c>
    </row>
    <row r="4" spans="1:13">
      <c r="A4" t="s">
        <v>34</v>
      </c>
      <c r="B4" s="1">
        <v>45309</v>
      </c>
      <c r="C4" t="s">
        <v>6</v>
      </c>
      <c r="D4" t="s">
        <v>35</v>
      </c>
      <c r="E4" t="s">
        <v>27</v>
      </c>
      <c r="F4" t="s">
        <v>28</v>
      </c>
      <c r="G4" t="s">
        <v>36</v>
      </c>
      <c r="H4" t="s">
        <v>9</v>
      </c>
      <c r="I4">
        <v>10</v>
      </c>
      <c r="J4">
        <v>450</v>
      </c>
      <c r="K4">
        <v>4500</v>
      </c>
      <c r="L4">
        <v>300</v>
      </c>
      <c r="M4">
        <v>1500</v>
      </c>
    </row>
    <row r="5" spans="1:13">
      <c r="A5" t="s">
        <v>37</v>
      </c>
      <c r="B5" s="1">
        <v>45311</v>
      </c>
      <c r="C5" t="s">
        <v>4</v>
      </c>
      <c r="D5" t="s">
        <v>38</v>
      </c>
      <c r="E5" t="s">
        <v>39</v>
      </c>
      <c r="F5" t="s">
        <v>28</v>
      </c>
      <c r="G5" t="s">
        <v>40</v>
      </c>
      <c r="H5" t="s">
        <v>10</v>
      </c>
      <c r="I5">
        <v>30</v>
      </c>
      <c r="J5">
        <v>160</v>
      </c>
      <c r="K5">
        <v>4800</v>
      </c>
      <c r="L5">
        <v>110</v>
      </c>
      <c r="M5">
        <v>1500</v>
      </c>
    </row>
    <row r="6" spans="1:13">
      <c r="A6" t="s">
        <v>41</v>
      </c>
      <c r="B6" s="1">
        <v>45313</v>
      </c>
      <c r="C6" t="s">
        <v>5</v>
      </c>
      <c r="D6" t="s">
        <v>42</v>
      </c>
      <c r="E6" t="s">
        <v>27</v>
      </c>
      <c r="F6" t="s">
        <v>28</v>
      </c>
      <c r="G6" t="s">
        <v>43</v>
      </c>
      <c r="H6" t="s">
        <v>8</v>
      </c>
      <c r="I6">
        <v>20</v>
      </c>
      <c r="J6">
        <v>140</v>
      </c>
      <c r="K6">
        <v>2800</v>
      </c>
      <c r="L6">
        <v>95</v>
      </c>
      <c r="M6">
        <v>900</v>
      </c>
    </row>
    <row r="7" spans="1:13">
      <c r="A7" t="s">
        <v>44</v>
      </c>
      <c r="B7" s="1">
        <v>45316</v>
      </c>
      <c r="C7" t="s">
        <v>3</v>
      </c>
      <c r="D7" t="s">
        <v>45</v>
      </c>
      <c r="E7" t="s">
        <v>32</v>
      </c>
      <c r="F7" t="s">
        <v>28</v>
      </c>
      <c r="G7" t="s">
        <v>46</v>
      </c>
      <c r="H7" t="s">
        <v>10</v>
      </c>
      <c r="I7">
        <v>5</v>
      </c>
      <c r="J7">
        <v>800</v>
      </c>
      <c r="K7">
        <v>4000</v>
      </c>
      <c r="L7">
        <v>600</v>
      </c>
      <c r="M7">
        <v>1000</v>
      </c>
    </row>
    <row r="8" spans="1:13">
      <c r="A8" t="s">
        <v>47</v>
      </c>
      <c r="B8" s="1">
        <v>45319</v>
      </c>
      <c r="C8" t="s">
        <v>6</v>
      </c>
      <c r="D8" t="s">
        <v>48</v>
      </c>
      <c r="E8" t="s">
        <v>49</v>
      </c>
      <c r="F8" t="s">
        <v>28</v>
      </c>
      <c r="G8" t="s">
        <v>50</v>
      </c>
      <c r="H8" t="s">
        <v>10</v>
      </c>
      <c r="I8">
        <v>2</v>
      </c>
      <c r="J8">
        <v>2500</v>
      </c>
      <c r="K8">
        <v>5000</v>
      </c>
      <c r="L8">
        <v>2000</v>
      </c>
      <c r="M8">
        <v>1000</v>
      </c>
    </row>
    <row r="9" spans="1:13">
      <c r="A9" t="s">
        <v>51</v>
      </c>
      <c r="B9" s="1">
        <v>45324</v>
      </c>
      <c r="C9" t="s">
        <v>4</v>
      </c>
      <c r="D9" t="s">
        <v>52</v>
      </c>
      <c r="E9" t="s">
        <v>27</v>
      </c>
      <c r="F9" t="s">
        <v>28</v>
      </c>
      <c r="G9" t="s">
        <v>29</v>
      </c>
      <c r="H9" t="s">
        <v>8</v>
      </c>
      <c r="I9">
        <v>35</v>
      </c>
      <c r="J9">
        <v>180</v>
      </c>
      <c r="K9">
        <v>6300</v>
      </c>
      <c r="L9">
        <v>120</v>
      </c>
      <c r="M9">
        <v>2100</v>
      </c>
    </row>
    <row r="10" spans="1:13">
      <c r="A10" t="s">
        <v>53</v>
      </c>
      <c r="B10" s="1">
        <v>45327</v>
      </c>
      <c r="C10" t="s">
        <v>5</v>
      </c>
      <c r="D10" t="s">
        <v>54</v>
      </c>
      <c r="E10" t="s">
        <v>32</v>
      </c>
      <c r="F10" t="s">
        <v>28</v>
      </c>
      <c r="G10" t="s">
        <v>55</v>
      </c>
      <c r="H10" t="s">
        <v>9</v>
      </c>
      <c r="I10">
        <v>12</v>
      </c>
      <c r="J10">
        <v>380</v>
      </c>
      <c r="K10">
        <v>4560</v>
      </c>
      <c r="L10">
        <v>250</v>
      </c>
      <c r="M10">
        <v>1560</v>
      </c>
    </row>
    <row r="11" spans="1:13">
      <c r="A11" t="s">
        <v>56</v>
      </c>
      <c r="B11" s="1">
        <v>45330</v>
      </c>
      <c r="C11" t="s">
        <v>3</v>
      </c>
      <c r="D11" t="s">
        <v>57</v>
      </c>
      <c r="E11" t="s">
        <v>32</v>
      </c>
      <c r="F11" t="s">
        <v>28</v>
      </c>
      <c r="G11" t="s">
        <v>33</v>
      </c>
      <c r="H11" t="s">
        <v>8</v>
      </c>
      <c r="I11">
        <v>28</v>
      </c>
      <c r="J11">
        <v>220</v>
      </c>
      <c r="K11">
        <v>6160</v>
      </c>
      <c r="L11">
        <v>150</v>
      </c>
      <c r="M11">
        <v>1960</v>
      </c>
    </row>
    <row r="12" spans="1:13">
      <c r="A12" t="s">
        <v>58</v>
      </c>
      <c r="B12" s="1">
        <v>45334</v>
      </c>
      <c r="C12" t="s">
        <v>6</v>
      </c>
      <c r="D12" t="s">
        <v>59</v>
      </c>
      <c r="E12" t="s">
        <v>32</v>
      </c>
      <c r="F12" t="s">
        <v>28</v>
      </c>
      <c r="G12" t="s">
        <v>60</v>
      </c>
      <c r="H12" t="s">
        <v>10</v>
      </c>
      <c r="I12">
        <v>18</v>
      </c>
      <c r="J12">
        <v>120</v>
      </c>
      <c r="K12">
        <v>2160</v>
      </c>
      <c r="L12">
        <v>80</v>
      </c>
      <c r="M12">
        <v>720</v>
      </c>
    </row>
    <row r="13" spans="1:13">
      <c r="A13" t="s">
        <v>61</v>
      </c>
      <c r="B13" s="1">
        <v>45337</v>
      </c>
      <c r="C13" t="s">
        <v>4</v>
      </c>
      <c r="D13" t="s">
        <v>62</v>
      </c>
      <c r="E13" t="s">
        <v>27</v>
      </c>
      <c r="F13" t="s">
        <v>28</v>
      </c>
      <c r="G13" t="s">
        <v>36</v>
      </c>
      <c r="H13" t="s">
        <v>9</v>
      </c>
      <c r="I13">
        <v>8</v>
      </c>
      <c r="J13">
        <v>450</v>
      </c>
      <c r="K13">
        <v>3600</v>
      </c>
      <c r="L13">
        <v>300</v>
      </c>
      <c r="M13">
        <v>1200</v>
      </c>
    </row>
    <row r="14" spans="1:13">
      <c r="A14" t="s">
        <v>63</v>
      </c>
      <c r="B14" s="1">
        <v>45340</v>
      </c>
      <c r="C14" t="s">
        <v>5</v>
      </c>
      <c r="D14" t="s">
        <v>64</v>
      </c>
      <c r="E14" t="s">
        <v>39</v>
      </c>
      <c r="F14" t="s">
        <v>28</v>
      </c>
      <c r="G14" t="s">
        <v>40</v>
      </c>
      <c r="H14" t="s">
        <v>10</v>
      </c>
      <c r="I14">
        <v>25</v>
      </c>
      <c r="J14">
        <v>160</v>
      </c>
      <c r="K14">
        <v>4000</v>
      </c>
      <c r="L14">
        <v>110</v>
      </c>
      <c r="M14">
        <v>1250</v>
      </c>
    </row>
    <row r="15" spans="1:13">
      <c r="A15" t="s">
        <v>65</v>
      </c>
      <c r="B15" s="1">
        <v>45344</v>
      </c>
      <c r="C15" t="s">
        <v>3</v>
      </c>
      <c r="D15" t="s">
        <v>66</v>
      </c>
      <c r="E15" t="s">
        <v>32</v>
      </c>
      <c r="F15" t="s">
        <v>28</v>
      </c>
      <c r="G15" t="s">
        <v>46</v>
      </c>
      <c r="H15" t="s">
        <v>10</v>
      </c>
      <c r="I15">
        <v>7</v>
      </c>
      <c r="J15">
        <v>800</v>
      </c>
      <c r="K15">
        <v>5600</v>
      </c>
      <c r="L15">
        <v>600</v>
      </c>
      <c r="M15">
        <v>1400</v>
      </c>
    </row>
    <row r="16" spans="1:13">
      <c r="A16" t="s">
        <v>67</v>
      </c>
      <c r="B16" s="1">
        <v>45347</v>
      </c>
      <c r="C16" t="s">
        <v>6</v>
      </c>
      <c r="D16" t="s">
        <v>35</v>
      </c>
      <c r="E16" t="s">
        <v>27</v>
      </c>
      <c r="F16" t="s">
        <v>28</v>
      </c>
      <c r="G16" t="s">
        <v>68</v>
      </c>
      <c r="H16" t="s">
        <v>10</v>
      </c>
      <c r="I16">
        <v>3</v>
      </c>
      <c r="J16">
        <v>1200</v>
      </c>
      <c r="K16">
        <v>3600</v>
      </c>
      <c r="L16">
        <v>900</v>
      </c>
      <c r="M16">
        <v>900</v>
      </c>
    </row>
    <row r="17" spans="1:13">
      <c r="A17" t="s">
        <v>69</v>
      </c>
      <c r="B17" s="1">
        <v>45352</v>
      </c>
      <c r="C17" t="s">
        <v>4</v>
      </c>
      <c r="D17" t="s">
        <v>70</v>
      </c>
      <c r="E17" t="s">
        <v>71</v>
      </c>
      <c r="F17" t="s">
        <v>28</v>
      </c>
      <c r="G17" t="s">
        <v>29</v>
      </c>
      <c r="H17" t="s">
        <v>8</v>
      </c>
      <c r="I17">
        <v>40</v>
      </c>
      <c r="J17">
        <v>180</v>
      </c>
      <c r="K17">
        <v>7200</v>
      </c>
      <c r="L17">
        <v>120</v>
      </c>
      <c r="M17">
        <v>2400</v>
      </c>
    </row>
    <row r="18" spans="1:13">
      <c r="A18" t="s">
        <v>72</v>
      </c>
      <c r="B18" s="1">
        <v>45356</v>
      </c>
      <c r="C18" t="s">
        <v>5</v>
      </c>
      <c r="D18" t="s">
        <v>73</v>
      </c>
      <c r="E18" t="s">
        <v>74</v>
      </c>
      <c r="F18" t="s">
        <v>28</v>
      </c>
      <c r="G18" t="s">
        <v>75</v>
      </c>
      <c r="H18" t="s">
        <v>9</v>
      </c>
      <c r="I18">
        <v>15</v>
      </c>
      <c r="J18">
        <v>350</v>
      </c>
      <c r="K18">
        <v>5250</v>
      </c>
      <c r="L18">
        <v>220</v>
      </c>
      <c r="M18">
        <v>1950</v>
      </c>
    </row>
    <row r="19" spans="1:13">
      <c r="A19" t="s">
        <v>76</v>
      </c>
      <c r="B19" s="1">
        <v>45359</v>
      </c>
      <c r="C19" t="s">
        <v>3</v>
      </c>
      <c r="D19" t="s">
        <v>77</v>
      </c>
      <c r="E19" t="s">
        <v>78</v>
      </c>
      <c r="F19" t="s">
        <v>28</v>
      </c>
      <c r="G19" t="s">
        <v>33</v>
      </c>
      <c r="H19" t="s">
        <v>8</v>
      </c>
      <c r="I19">
        <v>22</v>
      </c>
      <c r="J19">
        <v>220</v>
      </c>
      <c r="K19">
        <v>4840</v>
      </c>
      <c r="L19">
        <v>150</v>
      </c>
      <c r="M19">
        <v>1540</v>
      </c>
    </row>
    <row r="20" spans="1:13">
      <c r="A20" t="s">
        <v>79</v>
      </c>
      <c r="B20" s="1">
        <v>45363</v>
      </c>
      <c r="C20" t="s">
        <v>6</v>
      </c>
      <c r="D20" t="s">
        <v>80</v>
      </c>
      <c r="E20" t="s">
        <v>49</v>
      </c>
      <c r="F20" t="s">
        <v>28</v>
      </c>
      <c r="G20" t="s">
        <v>81</v>
      </c>
      <c r="H20" t="s">
        <v>8</v>
      </c>
      <c r="I20">
        <v>8</v>
      </c>
      <c r="J20">
        <v>300</v>
      </c>
      <c r="K20">
        <v>2400</v>
      </c>
      <c r="L20">
        <v>200</v>
      </c>
      <c r="M20">
        <v>800</v>
      </c>
    </row>
    <row r="21" spans="1:13">
      <c r="A21" t="s">
        <v>82</v>
      </c>
      <c r="B21" s="1">
        <v>45366</v>
      </c>
      <c r="C21" t="s">
        <v>4</v>
      </c>
      <c r="D21" t="s">
        <v>83</v>
      </c>
      <c r="E21" t="s">
        <v>27</v>
      </c>
      <c r="F21" t="s">
        <v>28</v>
      </c>
      <c r="G21" t="s">
        <v>84</v>
      </c>
      <c r="H21" t="s">
        <v>9</v>
      </c>
      <c r="I21">
        <v>20</v>
      </c>
      <c r="J21">
        <v>280</v>
      </c>
      <c r="K21">
        <v>5600</v>
      </c>
      <c r="L21">
        <v>180</v>
      </c>
      <c r="M21">
        <v>2000</v>
      </c>
    </row>
    <row r="22" spans="1:13">
      <c r="A22" t="s">
        <v>85</v>
      </c>
      <c r="B22" s="1">
        <v>45369</v>
      </c>
      <c r="C22" t="s">
        <v>5</v>
      </c>
      <c r="D22" t="s">
        <v>86</v>
      </c>
      <c r="E22" t="s">
        <v>87</v>
      </c>
      <c r="F22" t="s">
        <v>28</v>
      </c>
      <c r="G22" t="s">
        <v>88</v>
      </c>
      <c r="H22" t="s">
        <v>10</v>
      </c>
      <c r="I22">
        <v>32</v>
      </c>
      <c r="J22">
        <v>130</v>
      </c>
      <c r="K22">
        <v>4160</v>
      </c>
      <c r="L22">
        <v>90</v>
      </c>
      <c r="M22">
        <v>1280</v>
      </c>
    </row>
    <row r="23" spans="1:13">
      <c r="A23" t="s">
        <v>89</v>
      </c>
      <c r="B23" s="1">
        <v>45373</v>
      </c>
      <c r="C23" t="s">
        <v>3</v>
      </c>
      <c r="D23" t="s">
        <v>90</v>
      </c>
      <c r="E23" t="s">
        <v>32</v>
      </c>
      <c r="F23" t="s">
        <v>28</v>
      </c>
      <c r="G23" t="s">
        <v>91</v>
      </c>
      <c r="H23" t="s">
        <v>10</v>
      </c>
      <c r="I23">
        <v>14</v>
      </c>
      <c r="J23">
        <v>200</v>
      </c>
      <c r="K23">
        <v>2800</v>
      </c>
      <c r="L23">
        <v>140</v>
      </c>
      <c r="M23">
        <v>840</v>
      </c>
    </row>
    <row r="24" spans="1:13">
      <c r="A24" t="s">
        <v>92</v>
      </c>
      <c r="B24" s="1">
        <v>45376</v>
      </c>
      <c r="C24" t="s">
        <v>6</v>
      </c>
      <c r="D24" t="s">
        <v>93</v>
      </c>
      <c r="E24" t="s">
        <v>94</v>
      </c>
      <c r="F24" t="s">
        <v>28</v>
      </c>
      <c r="G24" t="s">
        <v>95</v>
      </c>
      <c r="H24" t="s">
        <v>10</v>
      </c>
      <c r="I24">
        <v>10</v>
      </c>
      <c r="J24">
        <v>180</v>
      </c>
      <c r="K24">
        <v>1800</v>
      </c>
      <c r="L24">
        <v>120</v>
      </c>
      <c r="M24">
        <v>600</v>
      </c>
    </row>
    <row r="25" spans="1:13">
      <c r="A25" t="s">
        <v>96</v>
      </c>
      <c r="B25" s="1">
        <v>45379</v>
      </c>
      <c r="C25" t="s">
        <v>4</v>
      </c>
      <c r="D25" t="s">
        <v>97</v>
      </c>
      <c r="E25" t="s">
        <v>98</v>
      </c>
      <c r="F25" t="s">
        <v>28</v>
      </c>
      <c r="G25" t="s">
        <v>99</v>
      </c>
      <c r="H25" t="s">
        <v>9</v>
      </c>
      <c r="I25">
        <v>18</v>
      </c>
      <c r="J25">
        <v>320</v>
      </c>
      <c r="K25">
        <v>5760</v>
      </c>
      <c r="L25">
        <v>200</v>
      </c>
      <c r="M25">
        <v>2160</v>
      </c>
    </row>
    <row r="26" spans="1:13">
      <c r="A26" t="s">
        <v>100</v>
      </c>
      <c r="B26" s="1">
        <v>45384</v>
      </c>
      <c r="C26" t="s">
        <v>5</v>
      </c>
      <c r="D26" t="s">
        <v>101</v>
      </c>
      <c r="E26" t="s">
        <v>102</v>
      </c>
      <c r="F26" t="s">
        <v>28</v>
      </c>
      <c r="G26" t="s">
        <v>29</v>
      </c>
      <c r="H26" t="s">
        <v>8</v>
      </c>
      <c r="I26">
        <v>30</v>
      </c>
      <c r="J26">
        <v>180</v>
      </c>
      <c r="K26">
        <v>5400</v>
      </c>
      <c r="L26">
        <v>120</v>
      </c>
      <c r="M26">
        <v>1800</v>
      </c>
    </row>
    <row r="27" spans="1:13">
      <c r="A27" t="s">
        <v>103</v>
      </c>
      <c r="B27" s="1">
        <v>45387</v>
      </c>
      <c r="C27" t="s">
        <v>3</v>
      </c>
      <c r="D27" t="s">
        <v>104</v>
      </c>
      <c r="E27" t="s">
        <v>105</v>
      </c>
      <c r="F27" t="s">
        <v>28</v>
      </c>
      <c r="G27" t="s">
        <v>33</v>
      </c>
      <c r="H27" t="s">
        <v>8</v>
      </c>
      <c r="I27">
        <v>26</v>
      </c>
      <c r="J27">
        <v>220</v>
      </c>
      <c r="K27">
        <v>5720</v>
      </c>
      <c r="L27">
        <v>150</v>
      </c>
      <c r="M27">
        <v>1820</v>
      </c>
    </row>
    <row r="28" spans="1:13">
      <c r="A28" t="s">
        <v>106</v>
      </c>
      <c r="B28" s="1">
        <v>45390</v>
      </c>
      <c r="C28" t="s">
        <v>6</v>
      </c>
      <c r="D28" t="s">
        <v>107</v>
      </c>
      <c r="E28" t="s">
        <v>108</v>
      </c>
      <c r="F28" t="s">
        <v>28</v>
      </c>
      <c r="G28" t="s">
        <v>40</v>
      </c>
      <c r="H28" t="s">
        <v>10</v>
      </c>
      <c r="I28">
        <v>35</v>
      </c>
      <c r="J28">
        <v>160</v>
      </c>
      <c r="K28">
        <v>5600</v>
      </c>
      <c r="L28">
        <v>110</v>
      </c>
      <c r="M28">
        <v>1750</v>
      </c>
    </row>
    <row r="29" spans="1:13">
      <c r="A29" t="s">
        <v>109</v>
      </c>
      <c r="B29" s="1">
        <v>45394</v>
      </c>
      <c r="C29" t="s">
        <v>4</v>
      </c>
      <c r="D29" t="s">
        <v>110</v>
      </c>
      <c r="E29" t="s">
        <v>111</v>
      </c>
      <c r="F29" t="s">
        <v>28</v>
      </c>
      <c r="G29" t="s">
        <v>112</v>
      </c>
      <c r="H29" t="s">
        <v>10</v>
      </c>
      <c r="I29">
        <v>12</v>
      </c>
      <c r="J29">
        <v>150</v>
      </c>
      <c r="K29">
        <v>1800</v>
      </c>
      <c r="L29">
        <v>100</v>
      </c>
      <c r="M29">
        <v>600</v>
      </c>
    </row>
    <row r="30" spans="1:13">
      <c r="A30" t="s">
        <v>113</v>
      </c>
      <c r="B30" s="1">
        <v>45397</v>
      </c>
      <c r="C30" t="s">
        <v>5</v>
      </c>
      <c r="D30" t="s">
        <v>114</v>
      </c>
      <c r="E30" t="s">
        <v>115</v>
      </c>
      <c r="F30" t="s">
        <v>28</v>
      </c>
      <c r="G30" t="s">
        <v>116</v>
      </c>
      <c r="H30" t="s">
        <v>8</v>
      </c>
      <c r="I30">
        <v>6</v>
      </c>
      <c r="J30">
        <v>400</v>
      </c>
      <c r="K30">
        <v>2400</v>
      </c>
      <c r="L30">
        <v>280</v>
      </c>
      <c r="M30">
        <v>720</v>
      </c>
    </row>
    <row r="31" spans="1:13">
      <c r="A31" t="s">
        <v>117</v>
      </c>
      <c r="B31" s="1">
        <v>45400</v>
      </c>
      <c r="C31" t="s">
        <v>3</v>
      </c>
      <c r="D31" t="s">
        <v>118</v>
      </c>
      <c r="E31" t="s">
        <v>119</v>
      </c>
      <c r="F31" t="s">
        <v>28</v>
      </c>
      <c r="G31" t="s">
        <v>36</v>
      </c>
      <c r="H31" t="s">
        <v>9</v>
      </c>
      <c r="I31">
        <v>14</v>
      </c>
      <c r="J31">
        <v>450</v>
      </c>
      <c r="K31">
        <v>6300</v>
      </c>
      <c r="L31">
        <v>300</v>
      </c>
      <c r="M31">
        <v>2100</v>
      </c>
    </row>
    <row r="32" spans="1:13">
      <c r="A32" t="s">
        <v>120</v>
      </c>
      <c r="B32" s="1">
        <v>45404</v>
      </c>
      <c r="C32" t="s">
        <v>6</v>
      </c>
      <c r="D32" t="s">
        <v>121</v>
      </c>
      <c r="E32" t="s">
        <v>122</v>
      </c>
      <c r="F32" t="s">
        <v>28</v>
      </c>
      <c r="G32" t="s">
        <v>123</v>
      </c>
      <c r="H32" t="s">
        <v>10</v>
      </c>
      <c r="I32">
        <v>4</v>
      </c>
      <c r="J32">
        <v>600</v>
      </c>
      <c r="K32">
        <v>2400</v>
      </c>
      <c r="L32">
        <v>450</v>
      </c>
      <c r="M32">
        <v>600</v>
      </c>
    </row>
    <row r="33" spans="1:13">
      <c r="A33" t="s">
        <v>124</v>
      </c>
      <c r="B33" s="1">
        <v>45407</v>
      </c>
      <c r="C33" t="s">
        <v>4</v>
      </c>
      <c r="D33" t="s">
        <v>125</v>
      </c>
      <c r="E33" t="s">
        <v>126</v>
      </c>
      <c r="F33" t="s">
        <v>28</v>
      </c>
      <c r="G33" t="s">
        <v>127</v>
      </c>
      <c r="H33" t="s">
        <v>10</v>
      </c>
      <c r="I33">
        <v>2</v>
      </c>
      <c r="J33">
        <v>1000</v>
      </c>
      <c r="K33">
        <v>2000</v>
      </c>
      <c r="L33">
        <v>750</v>
      </c>
      <c r="M33">
        <v>500</v>
      </c>
    </row>
    <row r="34" spans="1:13">
      <c r="A34" t="s">
        <v>128</v>
      </c>
      <c r="B34" s="1">
        <v>45410</v>
      </c>
      <c r="C34" t="s">
        <v>5</v>
      </c>
      <c r="D34" t="s">
        <v>129</v>
      </c>
      <c r="E34" t="s">
        <v>130</v>
      </c>
      <c r="F34" t="s">
        <v>28</v>
      </c>
      <c r="G34" t="s">
        <v>131</v>
      </c>
      <c r="H34" t="s">
        <v>8</v>
      </c>
      <c r="I34">
        <v>1</v>
      </c>
      <c r="J34">
        <v>3000</v>
      </c>
      <c r="K34">
        <v>3000</v>
      </c>
      <c r="L34">
        <v>2200</v>
      </c>
      <c r="M34">
        <v>800</v>
      </c>
    </row>
    <row r="35" spans="1:13">
      <c r="A35" t="s">
        <v>132</v>
      </c>
      <c r="B35" s="1">
        <v>45414</v>
      </c>
      <c r="C35" t="s">
        <v>3</v>
      </c>
      <c r="D35" t="s">
        <v>133</v>
      </c>
      <c r="E35" t="s">
        <v>134</v>
      </c>
      <c r="F35" t="s">
        <v>28</v>
      </c>
      <c r="G35" t="s">
        <v>29</v>
      </c>
      <c r="H35" t="s">
        <v>8</v>
      </c>
      <c r="I35">
        <v>28</v>
      </c>
      <c r="J35">
        <v>180</v>
      </c>
      <c r="K35">
        <v>5040</v>
      </c>
      <c r="L35">
        <v>120</v>
      </c>
      <c r="M35">
        <v>1680</v>
      </c>
    </row>
    <row r="36" spans="1:13">
      <c r="A36" t="s">
        <v>135</v>
      </c>
      <c r="B36" s="1">
        <v>45417</v>
      </c>
      <c r="C36" t="s">
        <v>6</v>
      </c>
      <c r="D36" t="s">
        <v>136</v>
      </c>
      <c r="E36" t="s">
        <v>137</v>
      </c>
      <c r="F36" t="s">
        <v>28</v>
      </c>
      <c r="G36" t="s">
        <v>33</v>
      </c>
      <c r="H36" t="s">
        <v>8</v>
      </c>
      <c r="I36">
        <v>24</v>
      </c>
      <c r="J36">
        <v>220</v>
      </c>
      <c r="K36">
        <v>5280</v>
      </c>
      <c r="L36">
        <v>150</v>
      </c>
      <c r="M36">
        <v>1680</v>
      </c>
    </row>
    <row r="37" spans="1:13">
      <c r="A37" t="s">
        <v>138</v>
      </c>
      <c r="B37" s="1">
        <v>45420</v>
      </c>
      <c r="C37" t="s">
        <v>4</v>
      </c>
      <c r="D37" t="s">
        <v>139</v>
      </c>
      <c r="E37" t="s">
        <v>140</v>
      </c>
      <c r="F37" t="s">
        <v>28</v>
      </c>
      <c r="G37" t="s">
        <v>141</v>
      </c>
      <c r="H37" t="s">
        <v>9</v>
      </c>
      <c r="I37">
        <v>16</v>
      </c>
      <c r="J37">
        <v>300</v>
      </c>
      <c r="K37">
        <v>4800</v>
      </c>
      <c r="L37">
        <v>190</v>
      </c>
      <c r="M37">
        <v>1760</v>
      </c>
    </row>
    <row r="38" spans="1:13">
      <c r="A38" t="s">
        <v>142</v>
      </c>
      <c r="B38" s="1">
        <v>45424</v>
      </c>
      <c r="C38" t="s">
        <v>5</v>
      </c>
      <c r="D38" t="s">
        <v>143</v>
      </c>
      <c r="E38" t="s">
        <v>144</v>
      </c>
      <c r="F38" t="s">
        <v>28</v>
      </c>
      <c r="G38" t="s">
        <v>43</v>
      </c>
      <c r="H38" t="s">
        <v>8</v>
      </c>
      <c r="I38">
        <v>22</v>
      </c>
      <c r="J38">
        <v>140</v>
      </c>
      <c r="K38">
        <v>3080</v>
      </c>
      <c r="L38">
        <v>95</v>
      </c>
      <c r="M38">
        <v>990</v>
      </c>
    </row>
    <row r="39" spans="1:13">
      <c r="A39" t="s">
        <v>145</v>
      </c>
      <c r="B39" s="1">
        <v>45427</v>
      </c>
      <c r="C39" t="s">
        <v>3</v>
      </c>
      <c r="D39" t="s">
        <v>146</v>
      </c>
      <c r="E39" t="s">
        <v>147</v>
      </c>
      <c r="F39" t="s">
        <v>28</v>
      </c>
      <c r="G39" t="s">
        <v>148</v>
      </c>
      <c r="H39" t="s">
        <v>8</v>
      </c>
      <c r="I39">
        <v>19</v>
      </c>
      <c r="J39">
        <v>190</v>
      </c>
      <c r="K39">
        <v>3610</v>
      </c>
      <c r="L39">
        <v>130</v>
      </c>
      <c r="M39">
        <v>1140</v>
      </c>
    </row>
    <row r="40" spans="1:13">
      <c r="A40" t="s">
        <v>149</v>
      </c>
      <c r="B40" s="1">
        <v>45430</v>
      </c>
      <c r="C40" t="s">
        <v>6</v>
      </c>
      <c r="D40" t="s">
        <v>150</v>
      </c>
      <c r="E40" t="s">
        <v>151</v>
      </c>
      <c r="F40" t="s">
        <v>28</v>
      </c>
      <c r="G40" t="s">
        <v>46</v>
      </c>
      <c r="H40" t="s">
        <v>10</v>
      </c>
      <c r="I40">
        <v>6</v>
      </c>
      <c r="J40">
        <v>800</v>
      </c>
      <c r="K40">
        <v>4800</v>
      </c>
      <c r="L40">
        <v>600</v>
      </c>
      <c r="M40">
        <v>1200</v>
      </c>
    </row>
    <row r="41" spans="1:13">
      <c r="A41" t="s">
        <v>152</v>
      </c>
      <c r="B41" s="1">
        <v>45434</v>
      </c>
      <c r="C41" t="s">
        <v>4</v>
      </c>
      <c r="D41" t="s">
        <v>153</v>
      </c>
      <c r="E41" t="s">
        <v>78</v>
      </c>
      <c r="F41" t="s">
        <v>28</v>
      </c>
      <c r="G41" t="s">
        <v>154</v>
      </c>
      <c r="H41" t="s">
        <v>10</v>
      </c>
      <c r="I41">
        <v>3</v>
      </c>
      <c r="J41">
        <v>1500</v>
      </c>
      <c r="K41">
        <v>4500</v>
      </c>
      <c r="L41">
        <v>1200</v>
      </c>
      <c r="M41">
        <v>900</v>
      </c>
    </row>
    <row r="42" spans="1:13">
      <c r="A42" t="s">
        <v>155</v>
      </c>
      <c r="B42" s="1">
        <v>45437</v>
      </c>
      <c r="C42" t="s">
        <v>5</v>
      </c>
      <c r="D42" t="s">
        <v>156</v>
      </c>
      <c r="E42" t="s">
        <v>32</v>
      </c>
      <c r="F42" t="s">
        <v>28</v>
      </c>
      <c r="G42" t="s">
        <v>157</v>
      </c>
      <c r="H42" t="s">
        <v>10</v>
      </c>
      <c r="I42">
        <v>1</v>
      </c>
      <c r="J42">
        <v>2000</v>
      </c>
      <c r="K42">
        <v>2000</v>
      </c>
      <c r="L42">
        <v>1500</v>
      </c>
      <c r="M42">
        <v>500</v>
      </c>
    </row>
    <row r="43" spans="1:13">
      <c r="A43" t="s">
        <v>158</v>
      </c>
      <c r="B43" s="1">
        <v>45440</v>
      </c>
      <c r="C43" t="s">
        <v>3</v>
      </c>
      <c r="D43" t="s">
        <v>159</v>
      </c>
      <c r="E43" t="s">
        <v>27</v>
      </c>
      <c r="F43" t="s">
        <v>28</v>
      </c>
      <c r="G43" t="s">
        <v>160</v>
      </c>
      <c r="H43" t="s">
        <v>10</v>
      </c>
      <c r="I43">
        <v>1</v>
      </c>
      <c r="J43">
        <v>2500</v>
      </c>
      <c r="K43">
        <v>2500</v>
      </c>
      <c r="L43">
        <v>2000</v>
      </c>
      <c r="M43">
        <v>500</v>
      </c>
    </row>
    <row r="44" spans="1:13">
      <c r="A44" t="s">
        <v>161</v>
      </c>
      <c r="B44" s="1">
        <v>45445</v>
      </c>
      <c r="C44" t="s">
        <v>6</v>
      </c>
      <c r="D44" t="s">
        <v>162</v>
      </c>
      <c r="E44" t="s">
        <v>39</v>
      </c>
      <c r="F44" t="s">
        <v>28</v>
      </c>
      <c r="G44" t="s">
        <v>163</v>
      </c>
      <c r="H44" t="s">
        <v>8</v>
      </c>
      <c r="I44">
        <v>10</v>
      </c>
      <c r="J44">
        <v>250</v>
      </c>
      <c r="K44">
        <v>2500</v>
      </c>
      <c r="L44">
        <v>180</v>
      </c>
      <c r="M44">
        <v>700</v>
      </c>
    </row>
    <row r="45" spans="1:13">
      <c r="A45" t="s">
        <v>164</v>
      </c>
      <c r="B45" s="1">
        <v>45448</v>
      </c>
      <c r="C45" t="s">
        <v>4</v>
      </c>
      <c r="D45" t="s">
        <v>165</v>
      </c>
      <c r="E45" t="s">
        <v>71</v>
      </c>
      <c r="F45" t="s">
        <v>28</v>
      </c>
      <c r="G45" t="s">
        <v>166</v>
      </c>
      <c r="H45" t="s">
        <v>9</v>
      </c>
      <c r="I45">
        <v>13</v>
      </c>
      <c r="J45">
        <v>280</v>
      </c>
      <c r="K45">
        <v>3640</v>
      </c>
      <c r="L45">
        <v>180</v>
      </c>
      <c r="M45">
        <v>1300</v>
      </c>
    </row>
    <row r="46" spans="1:13">
      <c r="A46" t="s">
        <v>167</v>
      </c>
      <c r="B46" s="1">
        <v>45451</v>
      </c>
      <c r="C46" t="s">
        <v>5</v>
      </c>
      <c r="D46" t="s">
        <v>168</v>
      </c>
      <c r="E46" t="s">
        <v>74</v>
      </c>
      <c r="F46" t="s">
        <v>28</v>
      </c>
      <c r="G46" t="s">
        <v>169</v>
      </c>
      <c r="H46" t="s">
        <v>9</v>
      </c>
      <c r="I46">
        <v>11</v>
      </c>
      <c r="J46">
        <v>400</v>
      </c>
      <c r="K46">
        <v>4400</v>
      </c>
      <c r="L46">
        <v>260</v>
      </c>
      <c r="M46">
        <v>1540</v>
      </c>
    </row>
    <row r="47" spans="1:13">
      <c r="A47" t="s">
        <v>170</v>
      </c>
      <c r="B47" s="1">
        <v>45455</v>
      </c>
      <c r="C47" t="s">
        <v>3</v>
      </c>
      <c r="D47" t="s">
        <v>171</v>
      </c>
      <c r="E47" t="s">
        <v>49</v>
      </c>
      <c r="F47" t="s">
        <v>28</v>
      </c>
      <c r="G47" t="s">
        <v>172</v>
      </c>
      <c r="H47" t="s">
        <v>9</v>
      </c>
      <c r="I47">
        <v>9</v>
      </c>
      <c r="J47">
        <v>380</v>
      </c>
      <c r="K47">
        <v>3420</v>
      </c>
      <c r="L47">
        <v>240</v>
      </c>
      <c r="M47">
        <v>1260</v>
      </c>
    </row>
    <row r="48" spans="1:13">
      <c r="A48" t="s">
        <v>173</v>
      </c>
      <c r="B48" s="1">
        <v>45458</v>
      </c>
      <c r="C48" t="s">
        <v>6</v>
      </c>
      <c r="D48" t="s">
        <v>174</v>
      </c>
      <c r="E48" t="s">
        <v>98</v>
      </c>
      <c r="F48" t="s">
        <v>28</v>
      </c>
      <c r="G48" t="s">
        <v>175</v>
      </c>
      <c r="H48" t="s">
        <v>9</v>
      </c>
      <c r="I48">
        <v>17</v>
      </c>
      <c r="J48">
        <v>360</v>
      </c>
      <c r="K48">
        <v>6120</v>
      </c>
      <c r="L48">
        <v>230</v>
      </c>
      <c r="M48">
        <v>2210</v>
      </c>
    </row>
    <row r="49" spans="1:13">
      <c r="A49" t="s">
        <v>176</v>
      </c>
      <c r="B49" s="1">
        <v>45461</v>
      </c>
      <c r="C49" t="s">
        <v>4</v>
      </c>
      <c r="D49" t="s">
        <v>177</v>
      </c>
      <c r="E49" t="s">
        <v>27</v>
      </c>
      <c r="F49" t="s">
        <v>28</v>
      </c>
      <c r="G49" t="s">
        <v>178</v>
      </c>
      <c r="H49" t="s">
        <v>9</v>
      </c>
      <c r="I49">
        <v>21</v>
      </c>
      <c r="J49">
        <v>320</v>
      </c>
      <c r="K49">
        <v>6720</v>
      </c>
      <c r="L49">
        <v>200</v>
      </c>
      <c r="M49">
        <v>2520</v>
      </c>
    </row>
    <row r="50" spans="1:13">
      <c r="A50" t="s">
        <v>179</v>
      </c>
      <c r="B50" s="1">
        <v>45465</v>
      </c>
      <c r="C50" t="s">
        <v>5</v>
      </c>
      <c r="D50" t="s">
        <v>180</v>
      </c>
      <c r="E50" t="s">
        <v>32</v>
      </c>
      <c r="F50" t="s">
        <v>28</v>
      </c>
      <c r="G50" t="s">
        <v>181</v>
      </c>
      <c r="H50" t="s">
        <v>9</v>
      </c>
      <c r="I50">
        <v>14</v>
      </c>
      <c r="J50">
        <v>290</v>
      </c>
      <c r="K50">
        <v>4060</v>
      </c>
      <c r="L50">
        <v>185</v>
      </c>
      <c r="M50">
        <v>1470</v>
      </c>
    </row>
    <row r="51" spans="1:13">
      <c r="A51" t="s">
        <v>182</v>
      </c>
      <c r="B51" s="1">
        <v>45468</v>
      </c>
      <c r="C51" t="s">
        <v>3</v>
      </c>
      <c r="D51" t="s">
        <v>183</v>
      </c>
      <c r="E51" t="s">
        <v>27</v>
      </c>
      <c r="F51" t="s">
        <v>28</v>
      </c>
      <c r="G51" t="s">
        <v>184</v>
      </c>
      <c r="H51" t="s">
        <v>9</v>
      </c>
      <c r="I51">
        <v>25</v>
      </c>
      <c r="J51">
        <v>240</v>
      </c>
      <c r="K51">
        <v>6000</v>
      </c>
      <c r="L51">
        <v>160</v>
      </c>
      <c r="M51">
        <v>2000</v>
      </c>
    </row>
  </sheetData>
  <conditionalFormatting sqref="H1:H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{260C9241-18DF-4B5D-AE00-7E5AA7A3773E}</x14:id>
        </ext>
      </extLst>
    </cfRule>
  </conditionalFormatting>
  <conditionalFormatting sqref="J1:J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{41D4BA1A-A65C-4EE3-A4C7-B944657ACC02}</x14:id>
        </ext>
      </extLst>
    </cfRule>
  </conditionalFormatting>
  <conditionalFormatting sqref="H1:H1048576">
    <cfRule type="containsText" dxfId="3" priority="3" operator="containsText" text="Ground Spices">
      <formula>NOT(ISERROR(SEARCH("Ground Spices",H1)))</formula>
    </cfRule>
  </conditionalFormatting>
  <conditionalFormatting sqref="M1:M1048576">
    <cfRule type="cellIs" dxfId="2" priority="2" operator="greaterThan">
      <formula>1000</formula>
    </cfRule>
  </conditionalFormatting>
  <conditionalFormatting sqref="M1:M1048576">
    <cfRule type="cellIs" dxfId="1" priority="1" operator="lessThanOrEqual">
      <formula>1000</formula>
    </cfRule>
  </conditionalFormatting>
  <dataValidations count="1">
    <dataValidation type="list" allowBlank="1" showInputMessage="1" showErrorMessage="1" sqref="H1:H1048576" xr:uid="{5F806F52-FBA0-4A97-94F9-DD49693B10E1}">
      <formula1>"Ground Spices,Spice Blends,Whole Spices"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0C9241-18DF-4B5D-AE00-7E5AA7A377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41D4BA1A-A65C-4EE3-A4C7-B944657ACC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0601-01AD-4DAE-BBEF-5DD13C5CCE13}">
  <dimension ref="A1:M127"/>
  <sheetViews>
    <sheetView topLeftCell="A107" workbookViewId="0">
      <selection activeCell="A81" sqref="A81"/>
    </sheetView>
  </sheetViews>
  <sheetFormatPr defaultRowHeight="15"/>
  <cols>
    <col min="1" max="1" width="36.5703125" bestFit="1" customWidth="1"/>
    <col min="2" max="2" width="28" bestFit="1" customWidth="1"/>
    <col min="5" max="5" width="10.7109375" bestFit="1" customWidth="1"/>
  </cols>
  <sheetData>
    <row r="1" spans="1:8">
      <c r="A1" t="s">
        <v>185</v>
      </c>
      <c r="B1" t="str">
        <f>IF(B3=0,"Clean - Analysis ready", "Issues")</f>
        <v>Clean - Analysis ready</v>
      </c>
    </row>
    <row r="2" spans="1:8">
      <c r="A2" t="s">
        <v>186</v>
      </c>
      <c r="B2">
        <f>COUNTA(SalesTable[Order_ID])</f>
        <v>50</v>
      </c>
    </row>
    <row r="3" spans="1:8">
      <c r="A3" t="s">
        <v>187</v>
      </c>
      <c r="B3">
        <f>COUNTBLANK(SalesTable[])</f>
        <v>0</v>
      </c>
    </row>
    <row r="4" spans="1:8">
      <c r="A4" t="s">
        <v>188</v>
      </c>
      <c r="B4" s="2">
        <f>MAX(SalesTable[Date])</f>
        <v>45468</v>
      </c>
    </row>
    <row r="7" spans="1:8">
      <c r="A7" s="4" t="s">
        <v>189</v>
      </c>
      <c r="B7" s="4"/>
      <c r="C7" s="4"/>
      <c r="D7" s="4"/>
      <c r="E7" s="4"/>
      <c r="F7" s="4"/>
      <c r="G7" s="4"/>
      <c r="H7" s="4"/>
    </row>
    <row r="8" spans="1:8">
      <c r="A8" t="s">
        <v>190</v>
      </c>
      <c r="B8" t="str" cm="1">
        <f t="array" ref="B8:B32">_xlfn.UNIQUE(SalesTable[City])</f>
        <v>Mumbai</v>
      </c>
    </row>
    <row r="9" spans="1:8">
      <c r="B9" t="str">
        <v>Pune</v>
      </c>
    </row>
    <row r="10" spans="1:8">
      <c r="B10" t="str">
        <v>Nashik</v>
      </c>
    </row>
    <row r="11" spans="1:8">
      <c r="B11" t="str">
        <v>Nagpur</v>
      </c>
    </row>
    <row r="12" spans="1:8">
      <c r="B12" t="str">
        <v>Aurangabad</v>
      </c>
    </row>
    <row r="13" spans="1:8">
      <c r="B13" t="str">
        <v>Kolhapur</v>
      </c>
    </row>
    <row r="14" spans="1:8">
      <c r="B14" t="str">
        <v>Solapur</v>
      </c>
    </row>
    <row r="15" spans="1:8">
      <c r="B15" t="str">
        <v>Dhule</v>
      </c>
    </row>
    <row r="16" spans="1:8">
      <c r="B16" t="str">
        <v>Latur</v>
      </c>
    </row>
    <row r="17" spans="2:2">
      <c r="B17" t="str">
        <v>Thane</v>
      </c>
    </row>
    <row r="18" spans="2:2">
      <c r="B18" t="str">
        <v>Sangli</v>
      </c>
    </row>
    <row r="19" spans="2:2">
      <c r="B19" t="str">
        <v>Satara</v>
      </c>
    </row>
    <row r="20" spans="2:2">
      <c r="B20" t="str">
        <v>Ahmednagar</v>
      </c>
    </row>
    <row r="21" spans="2:2">
      <c r="B21" t="str">
        <v>Beed</v>
      </c>
    </row>
    <row r="22" spans="2:2">
      <c r="B22" t="str">
        <v>Jalgaon</v>
      </c>
    </row>
    <row r="23" spans="2:2">
      <c r="B23" t="str">
        <v>Akola</v>
      </c>
    </row>
    <row r="24" spans="2:2">
      <c r="B24" t="str">
        <v>Wardha</v>
      </c>
    </row>
    <row r="25" spans="2:2">
      <c r="B25" t="str">
        <v>Yavatmal</v>
      </c>
    </row>
    <row r="26" spans="2:2">
      <c r="B26" t="str">
        <v>Buldhana</v>
      </c>
    </row>
    <row r="27" spans="2:2">
      <c r="B27" t="str">
        <v>Washim</v>
      </c>
    </row>
    <row r="28" spans="2:2">
      <c r="B28" t="str">
        <v>Hingoli</v>
      </c>
    </row>
    <row r="29" spans="2:2">
      <c r="B29" t="str">
        <v>Nanded</v>
      </c>
    </row>
    <row r="30" spans="2:2">
      <c r="B30" t="str">
        <v>Parbhani</v>
      </c>
    </row>
    <row r="31" spans="2:2">
      <c r="B31" t="str">
        <v>Jalna</v>
      </c>
    </row>
    <row r="32" spans="2:2">
      <c r="B32" t="str">
        <v>Osmanabad</v>
      </c>
    </row>
    <row r="34" spans="1:13">
      <c r="A34" t="s">
        <v>191</v>
      </c>
      <c r="B34" t="str" cm="1">
        <f t="array" ref="B34:B36">_xlfn.UNIQUE(SalesTable[Category])</f>
        <v>Ground Spices</v>
      </c>
    </row>
    <row r="35" spans="1:13">
      <c r="B35" t="str">
        <v>Spice Blends</v>
      </c>
    </row>
    <row r="36" spans="1:13">
      <c r="B36" t="str">
        <v>Whole Spices</v>
      </c>
    </row>
    <row r="38" spans="1:13">
      <c r="A38" t="s">
        <v>192</v>
      </c>
      <c r="B38">
        <f>COUNTA(B34:B36)</f>
        <v>3</v>
      </c>
    </row>
    <row r="41" spans="1:13">
      <c r="A41" t="s">
        <v>193</v>
      </c>
    </row>
    <row r="42" spans="1:13">
      <c r="A42" t="str" cm="1">
        <f t="array" ref="A42:M57">_xlfn._xlws.FILTER(SalesTable[], SalesTable[Total_Amount]&gt;5000,"Not Found")</f>
        <v>MM008</v>
      </c>
      <c r="B42">
        <v>45324</v>
      </c>
      <c r="C42" t="str">
        <v>Priya Patel</v>
      </c>
      <c r="D42" t="str">
        <v>Golden Spoon</v>
      </c>
      <c r="E42" t="str">
        <v>Mumbai</v>
      </c>
      <c r="F42" t="str">
        <v>Maharashtra</v>
      </c>
      <c r="G42" t="str">
        <v>Turmeric Powder</v>
      </c>
      <c r="H42" t="str">
        <v>Ground Spices</v>
      </c>
      <c r="I42">
        <v>35</v>
      </c>
      <c r="J42">
        <v>180</v>
      </c>
      <c r="K42">
        <v>6300</v>
      </c>
      <c r="L42">
        <v>120</v>
      </c>
      <c r="M42">
        <v>2100</v>
      </c>
    </row>
    <row r="43" spans="1:13">
      <c r="A43" t="str">
        <v>MM010</v>
      </c>
      <c r="B43">
        <v>45330</v>
      </c>
      <c r="C43" t="str">
        <v>Amit Kumar</v>
      </c>
      <c r="D43" t="str">
        <v>Marathi Mandir</v>
      </c>
      <c r="E43" t="str">
        <v>Pune</v>
      </c>
      <c r="F43" t="str">
        <v>Maharashtra</v>
      </c>
      <c r="G43" t="str">
        <v>Red Chili Powder</v>
      </c>
      <c r="H43" t="str">
        <v>Ground Spices</v>
      </c>
      <c r="I43">
        <v>28</v>
      </c>
      <c r="J43">
        <v>220</v>
      </c>
      <c r="K43">
        <v>6160</v>
      </c>
      <c r="L43">
        <v>150</v>
      </c>
      <c r="M43">
        <v>1960</v>
      </c>
    </row>
    <row r="44" spans="1:13">
      <c r="A44" t="str">
        <v>MM014</v>
      </c>
      <c r="B44">
        <v>45344</v>
      </c>
      <c r="C44" t="str">
        <v>Amit Kumar</v>
      </c>
      <c r="D44" t="str">
        <v>Spicy Affairs</v>
      </c>
      <c r="E44" t="str">
        <v>Pune</v>
      </c>
      <c r="F44" t="str">
        <v>Maharashtra</v>
      </c>
      <c r="G44" t="str">
        <v>Black Pepper</v>
      </c>
      <c r="H44" t="str">
        <v>Whole Spices</v>
      </c>
      <c r="I44">
        <v>7</v>
      </c>
      <c r="J44">
        <v>800</v>
      </c>
      <c r="K44">
        <v>5600</v>
      </c>
      <c r="L44">
        <v>600</v>
      </c>
      <c r="M44">
        <v>1400</v>
      </c>
    </row>
    <row r="45" spans="1:13">
      <c r="A45" t="str">
        <v>MM016</v>
      </c>
      <c r="B45">
        <v>45352</v>
      </c>
      <c r="C45" t="str">
        <v>Priya Patel</v>
      </c>
      <c r="D45" t="str">
        <v>Aurangabad Eats</v>
      </c>
      <c r="E45" t="str">
        <v>Aurangabad</v>
      </c>
      <c r="F45" t="str">
        <v>Maharashtra</v>
      </c>
      <c r="G45" t="str">
        <v>Turmeric Powder</v>
      </c>
      <c r="H45" t="str">
        <v>Ground Spices</v>
      </c>
      <c r="I45">
        <v>40</v>
      </c>
      <c r="J45">
        <v>180</v>
      </c>
      <c r="K45">
        <v>7200</v>
      </c>
      <c r="L45">
        <v>120</v>
      </c>
      <c r="M45">
        <v>2400</v>
      </c>
    </row>
    <row r="46" spans="1:13">
      <c r="A46" t="str">
        <v>MM017</v>
      </c>
      <c r="B46">
        <v>45356</v>
      </c>
      <c r="C46" t="str">
        <v>Ramesh Gupta</v>
      </c>
      <c r="D46" t="str">
        <v>Kolhapur Kitchen</v>
      </c>
      <c r="E46" t="str">
        <v>Kolhapur</v>
      </c>
      <c r="F46" t="str">
        <v>Maharashtra</v>
      </c>
      <c r="G46" t="str">
        <v>Kolhapuri Masala</v>
      </c>
      <c r="H46" t="str">
        <v>Spice Blends</v>
      </c>
      <c r="I46">
        <v>15</v>
      </c>
      <c r="J46">
        <v>350</v>
      </c>
      <c r="K46">
        <v>5250</v>
      </c>
      <c r="L46">
        <v>220</v>
      </c>
      <c r="M46">
        <v>1950</v>
      </c>
    </row>
    <row r="47" spans="1:13">
      <c r="A47" t="str">
        <v>MM020</v>
      </c>
      <c r="B47">
        <v>45366</v>
      </c>
      <c r="C47" t="str">
        <v>Priya Patel</v>
      </c>
      <c r="D47" t="str">
        <v>Mumbai Central</v>
      </c>
      <c r="E47" t="str">
        <v>Mumbai</v>
      </c>
      <c r="F47" t="str">
        <v>Maharashtra</v>
      </c>
      <c r="G47" t="str">
        <v>Chat Masala</v>
      </c>
      <c r="H47" t="str">
        <v>Spice Blends</v>
      </c>
      <c r="I47">
        <v>20</v>
      </c>
      <c r="J47">
        <v>280</v>
      </c>
      <c r="K47">
        <v>5600</v>
      </c>
      <c r="L47">
        <v>180</v>
      </c>
      <c r="M47">
        <v>2000</v>
      </c>
    </row>
    <row r="48" spans="1:13">
      <c r="A48" t="str">
        <v>MM024</v>
      </c>
      <c r="B48">
        <v>45379</v>
      </c>
      <c r="C48" t="str">
        <v>Priya Patel</v>
      </c>
      <c r="D48" t="str">
        <v>Thane Tiffin</v>
      </c>
      <c r="E48" t="str">
        <v>Thane</v>
      </c>
      <c r="F48" t="str">
        <v>Maharashtra</v>
      </c>
      <c r="G48" t="str">
        <v>Sambhar Masala</v>
      </c>
      <c r="H48" t="str">
        <v>Spice Blends</v>
      </c>
      <c r="I48">
        <v>18</v>
      </c>
      <c r="J48">
        <v>320</v>
      </c>
      <c r="K48">
        <v>5760</v>
      </c>
      <c r="L48">
        <v>200</v>
      </c>
      <c r="M48">
        <v>2160</v>
      </c>
    </row>
    <row r="49" spans="1:13">
      <c r="A49" t="str">
        <v>MM025</v>
      </c>
      <c r="B49">
        <v>45384</v>
      </c>
      <c r="C49" t="str">
        <v>Ramesh Gupta</v>
      </c>
      <c r="D49" t="str">
        <v>Sangli Sweets</v>
      </c>
      <c r="E49" t="str">
        <v>Sangli</v>
      </c>
      <c r="F49" t="str">
        <v>Maharashtra</v>
      </c>
      <c r="G49" t="str">
        <v>Turmeric Powder</v>
      </c>
      <c r="H49" t="str">
        <v>Ground Spices</v>
      </c>
      <c r="I49">
        <v>30</v>
      </c>
      <c r="J49">
        <v>180</v>
      </c>
      <c r="K49">
        <v>5400</v>
      </c>
      <c r="L49">
        <v>120</v>
      </c>
      <c r="M49">
        <v>1800</v>
      </c>
    </row>
    <row r="50" spans="1:13">
      <c r="A50" t="str">
        <v>MM026</v>
      </c>
      <c r="B50">
        <v>45387</v>
      </c>
      <c r="C50" t="str">
        <v>Amit Kumar</v>
      </c>
      <c r="D50" t="str">
        <v>Satara Snacks</v>
      </c>
      <c r="E50" t="str">
        <v>Satara</v>
      </c>
      <c r="F50" t="str">
        <v>Maharashtra</v>
      </c>
      <c r="G50" t="str">
        <v>Red Chili Powder</v>
      </c>
      <c r="H50" t="str">
        <v>Ground Spices</v>
      </c>
      <c r="I50">
        <v>26</v>
      </c>
      <c r="J50">
        <v>220</v>
      </c>
      <c r="K50">
        <v>5720</v>
      </c>
      <c r="L50">
        <v>150</v>
      </c>
      <c r="M50">
        <v>1820</v>
      </c>
    </row>
    <row r="51" spans="1:13">
      <c r="A51" t="str">
        <v>MM027</v>
      </c>
      <c r="B51">
        <v>45390</v>
      </c>
      <c r="C51" t="str">
        <v>Sunita Singh</v>
      </c>
      <c r="D51" t="str">
        <v>Ahmednagar Appetite</v>
      </c>
      <c r="E51" t="str">
        <v>Ahmednagar</v>
      </c>
      <c r="F51" t="str">
        <v>Maharashtra</v>
      </c>
      <c r="G51" t="str">
        <v>Cumin Seeds</v>
      </c>
      <c r="H51" t="str">
        <v>Whole Spices</v>
      </c>
      <c r="I51">
        <v>35</v>
      </c>
      <c r="J51">
        <v>160</v>
      </c>
      <c r="K51">
        <v>5600</v>
      </c>
      <c r="L51">
        <v>110</v>
      </c>
      <c r="M51">
        <v>1750</v>
      </c>
    </row>
    <row r="52" spans="1:13">
      <c r="A52" t="str">
        <v>MM030</v>
      </c>
      <c r="B52">
        <v>45400</v>
      </c>
      <c r="C52" t="str">
        <v>Amit Kumar</v>
      </c>
      <c r="D52" t="str">
        <v>Akola Appetite</v>
      </c>
      <c r="E52" t="str">
        <v>Akola</v>
      </c>
      <c r="F52" t="str">
        <v>Maharashtra</v>
      </c>
      <c r="G52" t="str">
        <v>Garam Masala</v>
      </c>
      <c r="H52" t="str">
        <v>Spice Blends</v>
      </c>
      <c r="I52">
        <v>14</v>
      </c>
      <c r="J52">
        <v>450</v>
      </c>
      <c r="K52">
        <v>6300</v>
      </c>
      <c r="L52">
        <v>300</v>
      </c>
      <c r="M52">
        <v>2100</v>
      </c>
    </row>
    <row r="53" spans="1:13">
      <c r="A53" t="str">
        <v>MM034</v>
      </c>
      <c r="B53">
        <v>45414</v>
      </c>
      <c r="C53" t="str">
        <v>Amit Kumar</v>
      </c>
      <c r="D53" t="str">
        <v>Washim Wok</v>
      </c>
      <c r="E53" t="str">
        <v>Washim</v>
      </c>
      <c r="F53" t="str">
        <v>Maharashtra</v>
      </c>
      <c r="G53" t="str">
        <v>Turmeric Powder</v>
      </c>
      <c r="H53" t="str">
        <v>Ground Spices</v>
      </c>
      <c r="I53">
        <v>28</v>
      </c>
      <c r="J53">
        <v>180</v>
      </c>
      <c r="K53">
        <v>5040</v>
      </c>
      <c r="L53">
        <v>120</v>
      </c>
      <c r="M53">
        <v>1680</v>
      </c>
    </row>
    <row r="54" spans="1:13">
      <c r="A54" t="str">
        <v>MM035</v>
      </c>
      <c r="B54">
        <v>45417</v>
      </c>
      <c r="C54" t="str">
        <v>Sunita Singh</v>
      </c>
      <c r="D54" t="str">
        <v>Hingoli Kitchen</v>
      </c>
      <c r="E54" t="str">
        <v>Hingoli</v>
      </c>
      <c r="F54" t="str">
        <v>Maharashtra</v>
      </c>
      <c r="G54" t="str">
        <v>Red Chili Powder</v>
      </c>
      <c r="H54" t="str">
        <v>Ground Spices</v>
      </c>
      <c r="I54">
        <v>24</v>
      </c>
      <c r="J54">
        <v>220</v>
      </c>
      <c r="K54">
        <v>5280</v>
      </c>
      <c r="L54">
        <v>150</v>
      </c>
      <c r="M54">
        <v>1680</v>
      </c>
    </row>
    <row r="55" spans="1:13">
      <c r="A55" t="str">
        <v>MM047</v>
      </c>
      <c r="B55">
        <v>45458</v>
      </c>
      <c r="C55" t="str">
        <v>Sunita Singh</v>
      </c>
      <c r="D55" t="str">
        <v>Thane Taste</v>
      </c>
      <c r="E55" t="str">
        <v>Thane</v>
      </c>
      <c r="F55" t="str">
        <v>Maharashtra</v>
      </c>
      <c r="G55" t="str">
        <v>Chicken Masala</v>
      </c>
      <c r="H55" t="str">
        <v>Spice Blends</v>
      </c>
      <c r="I55">
        <v>17</v>
      </c>
      <c r="J55">
        <v>360</v>
      </c>
      <c r="K55">
        <v>6120</v>
      </c>
      <c r="L55">
        <v>230</v>
      </c>
      <c r="M55">
        <v>2210</v>
      </c>
    </row>
    <row r="56" spans="1:13">
      <c r="A56" t="str">
        <v>MM048</v>
      </c>
      <c r="B56">
        <v>45461</v>
      </c>
      <c r="C56" t="str">
        <v>Priya Patel</v>
      </c>
      <c r="D56" t="str">
        <v>Mumbai Modern</v>
      </c>
      <c r="E56" t="str">
        <v>Mumbai</v>
      </c>
      <c r="F56" t="str">
        <v>Maharashtra</v>
      </c>
      <c r="G56" t="str">
        <v>Kitchen King Masala</v>
      </c>
      <c r="H56" t="str">
        <v>Spice Blends</v>
      </c>
      <c r="I56">
        <v>21</v>
      </c>
      <c r="J56">
        <v>320</v>
      </c>
      <c r="K56">
        <v>6720</v>
      </c>
      <c r="L56">
        <v>200</v>
      </c>
      <c r="M56">
        <v>2520</v>
      </c>
    </row>
    <row r="57" spans="1:13">
      <c r="A57" t="str">
        <v>MM050</v>
      </c>
      <c r="B57">
        <v>45468</v>
      </c>
      <c r="C57" t="str">
        <v>Amit Kumar</v>
      </c>
      <c r="D57" t="str">
        <v>Final Order Cafe</v>
      </c>
      <c r="E57" t="str">
        <v>Mumbai</v>
      </c>
      <c r="F57" t="str">
        <v>Maharashtra</v>
      </c>
      <c r="G57" t="str">
        <v>Mixed Spice Powder</v>
      </c>
      <c r="H57" t="str">
        <v>Spice Blends</v>
      </c>
      <c r="I57">
        <v>25</v>
      </c>
      <c r="J57">
        <v>240</v>
      </c>
      <c r="K57">
        <v>6000</v>
      </c>
      <c r="L57">
        <v>160</v>
      </c>
      <c r="M57">
        <v>2000</v>
      </c>
    </row>
    <row r="60" spans="1:13">
      <c r="A60" t="s">
        <v>194</v>
      </c>
    </row>
    <row r="61" spans="1:13">
      <c r="A61" t="str" cm="1">
        <f t="array" ref="A61:M110">_xlfn._xlws.SORT(SalesTable[],11, -1)</f>
        <v>MM016</v>
      </c>
      <c r="B61">
        <v>45352</v>
      </c>
      <c r="C61" t="str">
        <v>Priya Patel</v>
      </c>
      <c r="D61" t="str">
        <v>Aurangabad Eats</v>
      </c>
      <c r="E61" t="str">
        <v>Aurangabad</v>
      </c>
      <c r="F61" t="str">
        <v>Maharashtra</v>
      </c>
      <c r="G61" t="str">
        <v>Turmeric Powder</v>
      </c>
      <c r="H61" t="str">
        <v>Ground Spices</v>
      </c>
      <c r="I61">
        <v>40</v>
      </c>
      <c r="J61">
        <v>180</v>
      </c>
      <c r="K61">
        <v>7200</v>
      </c>
      <c r="L61">
        <v>120</v>
      </c>
      <c r="M61">
        <v>2400</v>
      </c>
    </row>
    <row r="62" spans="1:13">
      <c r="A62" t="str">
        <v>MM048</v>
      </c>
      <c r="B62">
        <v>45461</v>
      </c>
      <c r="C62" t="str">
        <v>Priya Patel</v>
      </c>
      <c r="D62" t="str">
        <v>Mumbai Modern</v>
      </c>
      <c r="E62" t="str">
        <v>Mumbai</v>
      </c>
      <c r="F62" t="str">
        <v>Maharashtra</v>
      </c>
      <c r="G62" t="str">
        <v>Kitchen King Masala</v>
      </c>
      <c r="H62" t="str">
        <v>Spice Blends</v>
      </c>
      <c r="I62">
        <v>21</v>
      </c>
      <c r="J62">
        <v>320</v>
      </c>
      <c r="K62">
        <v>6720</v>
      </c>
      <c r="L62">
        <v>200</v>
      </c>
      <c r="M62">
        <v>2520</v>
      </c>
    </row>
    <row r="63" spans="1:13">
      <c r="A63" t="str">
        <v>MM008</v>
      </c>
      <c r="B63">
        <v>45324</v>
      </c>
      <c r="C63" t="str">
        <v>Priya Patel</v>
      </c>
      <c r="D63" t="str">
        <v>Golden Spoon</v>
      </c>
      <c r="E63" t="str">
        <v>Mumbai</v>
      </c>
      <c r="F63" t="str">
        <v>Maharashtra</v>
      </c>
      <c r="G63" t="str">
        <v>Turmeric Powder</v>
      </c>
      <c r="H63" t="str">
        <v>Ground Spices</v>
      </c>
      <c r="I63">
        <v>35</v>
      </c>
      <c r="J63">
        <v>180</v>
      </c>
      <c r="K63">
        <v>6300</v>
      </c>
      <c r="L63">
        <v>120</v>
      </c>
      <c r="M63">
        <v>2100</v>
      </c>
    </row>
    <row r="64" spans="1:13">
      <c r="A64" t="str">
        <v>MM030</v>
      </c>
      <c r="B64">
        <v>45400</v>
      </c>
      <c r="C64" t="str">
        <v>Amit Kumar</v>
      </c>
      <c r="D64" t="str">
        <v>Akola Appetite</v>
      </c>
      <c r="E64" t="str">
        <v>Akola</v>
      </c>
      <c r="F64" t="str">
        <v>Maharashtra</v>
      </c>
      <c r="G64" t="str">
        <v>Garam Masala</v>
      </c>
      <c r="H64" t="str">
        <v>Spice Blends</v>
      </c>
      <c r="I64">
        <v>14</v>
      </c>
      <c r="J64">
        <v>450</v>
      </c>
      <c r="K64">
        <v>6300</v>
      </c>
      <c r="L64">
        <v>300</v>
      </c>
      <c r="M64">
        <v>2100</v>
      </c>
    </row>
    <row r="65" spans="1:13">
      <c r="A65" t="str">
        <v>MM010</v>
      </c>
      <c r="B65">
        <v>45330</v>
      </c>
      <c r="C65" t="str">
        <v>Amit Kumar</v>
      </c>
      <c r="D65" t="str">
        <v>Marathi Mandir</v>
      </c>
      <c r="E65" t="str">
        <v>Pune</v>
      </c>
      <c r="F65" t="str">
        <v>Maharashtra</v>
      </c>
      <c r="G65" t="str">
        <v>Red Chili Powder</v>
      </c>
      <c r="H65" t="str">
        <v>Ground Spices</v>
      </c>
      <c r="I65">
        <v>28</v>
      </c>
      <c r="J65">
        <v>220</v>
      </c>
      <c r="K65">
        <v>6160</v>
      </c>
      <c r="L65">
        <v>150</v>
      </c>
      <c r="M65">
        <v>1960</v>
      </c>
    </row>
    <row r="66" spans="1:13">
      <c r="A66" t="str">
        <v>MM047</v>
      </c>
      <c r="B66">
        <v>45458</v>
      </c>
      <c r="C66" t="str">
        <v>Sunita Singh</v>
      </c>
      <c r="D66" t="str">
        <v>Thane Taste</v>
      </c>
      <c r="E66" t="str">
        <v>Thane</v>
      </c>
      <c r="F66" t="str">
        <v>Maharashtra</v>
      </c>
      <c r="G66" t="str">
        <v>Chicken Masala</v>
      </c>
      <c r="H66" t="str">
        <v>Spice Blends</v>
      </c>
      <c r="I66">
        <v>17</v>
      </c>
      <c r="J66">
        <v>360</v>
      </c>
      <c r="K66">
        <v>6120</v>
      </c>
      <c r="L66">
        <v>230</v>
      </c>
      <c r="M66">
        <v>2210</v>
      </c>
    </row>
    <row r="67" spans="1:13">
      <c r="A67" t="str">
        <v>MM050</v>
      </c>
      <c r="B67">
        <v>45468</v>
      </c>
      <c r="C67" t="str">
        <v>Amit Kumar</v>
      </c>
      <c r="D67" t="str">
        <v>Final Order Cafe</v>
      </c>
      <c r="E67" t="str">
        <v>Mumbai</v>
      </c>
      <c r="F67" t="str">
        <v>Maharashtra</v>
      </c>
      <c r="G67" t="str">
        <v>Mixed Spice Powder</v>
      </c>
      <c r="H67" t="str">
        <v>Spice Blends</v>
      </c>
      <c r="I67">
        <v>25</v>
      </c>
      <c r="J67">
        <v>240</v>
      </c>
      <c r="K67">
        <v>6000</v>
      </c>
      <c r="L67">
        <v>160</v>
      </c>
      <c r="M67">
        <v>2000</v>
      </c>
    </row>
    <row r="68" spans="1:13">
      <c r="A68" t="str">
        <v>MM024</v>
      </c>
      <c r="B68">
        <v>45379</v>
      </c>
      <c r="C68" t="str">
        <v>Priya Patel</v>
      </c>
      <c r="D68" t="str">
        <v>Thane Tiffin</v>
      </c>
      <c r="E68" t="str">
        <v>Thane</v>
      </c>
      <c r="F68" t="str">
        <v>Maharashtra</v>
      </c>
      <c r="G68" t="str">
        <v>Sambhar Masala</v>
      </c>
      <c r="H68" t="str">
        <v>Spice Blends</v>
      </c>
      <c r="I68">
        <v>18</v>
      </c>
      <c r="J68">
        <v>320</v>
      </c>
      <c r="K68">
        <v>5760</v>
      </c>
      <c r="L68">
        <v>200</v>
      </c>
      <c r="M68">
        <v>2160</v>
      </c>
    </row>
    <row r="69" spans="1:13">
      <c r="A69" t="str">
        <v>MM026</v>
      </c>
      <c r="B69">
        <v>45387</v>
      </c>
      <c r="C69" t="str">
        <v>Amit Kumar</v>
      </c>
      <c r="D69" t="str">
        <v>Satara Snacks</v>
      </c>
      <c r="E69" t="str">
        <v>Satara</v>
      </c>
      <c r="F69" t="str">
        <v>Maharashtra</v>
      </c>
      <c r="G69" t="str">
        <v>Red Chili Powder</v>
      </c>
      <c r="H69" t="str">
        <v>Ground Spices</v>
      </c>
      <c r="I69">
        <v>26</v>
      </c>
      <c r="J69">
        <v>220</v>
      </c>
      <c r="K69">
        <v>5720</v>
      </c>
      <c r="L69">
        <v>150</v>
      </c>
      <c r="M69">
        <v>1820</v>
      </c>
    </row>
    <row r="70" spans="1:13">
      <c r="A70" t="str">
        <v>MM014</v>
      </c>
      <c r="B70">
        <v>45344</v>
      </c>
      <c r="C70" t="str">
        <v>Amit Kumar</v>
      </c>
      <c r="D70" t="str">
        <v>Spicy Affairs</v>
      </c>
      <c r="E70" t="str">
        <v>Pune</v>
      </c>
      <c r="F70" t="str">
        <v>Maharashtra</v>
      </c>
      <c r="G70" t="str">
        <v>Black Pepper</v>
      </c>
      <c r="H70" t="str">
        <v>Whole Spices</v>
      </c>
      <c r="I70">
        <v>7</v>
      </c>
      <c r="J70">
        <v>800</v>
      </c>
      <c r="K70">
        <v>5600</v>
      </c>
      <c r="L70">
        <v>600</v>
      </c>
      <c r="M70">
        <v>1400</v>
      </c>
    </row>
    <row r="71" spans="1:13">
      <c r="A71" t="str">
        <v>MM020</v>
      </c>
      <c r="B71">
        <v>45366</v>
      </c>
      <c r="C71" t="str">
        <v>Priya Patel</v>
      </c>
      <c r="D71" t="str">
        <v>Mumbai Central</v>
      </c>
      <c r="E71" t="str">
        <v>Mumbai</v>
      </c>
      <c r="F71" t="str">
        <v>Maharashtra</v>
      </c>
      <c r="G71" t="str">
        <v>Chat Masala</v>
      </c>
      <c r="H71" t="str">
        <v>Spice Blends</v>
      </c>
      <c r="I71">
        <v>20</v>
      </c>
      <c r="J71">
        <v>280</v>
      </c>
      <c r="K71">
        <v>5600</v>
      </c>
      <c r="L71">
        <v>180</v>
      </c>
      <c r="M71">
        <v>2000</v>
      </c>
    </row>
    <row r="72" spans="1:13">
      <c r="A72" t="str">
        <v>MM027</v>
      </c>
      <c r="B72">
        <v>45390</v>
      </c>
      <c r="C72" t="str">
        <v>Sunita Singh</v>
      </c>
      <c r="D72" t="str">
        <v>Ahmednagar Appetite</v>
      </c>
      <c r="E72" t="str">
        <v>Ahmednagar</v>
      </c>
      <c r="F72" t="str">
        <v>Maharashtra</v>
      </c>
      <c r="G72" t="str">
        <v>Cumin Seeds</v>
      </c>
      <c r="H72" t="str">
        <v>Whole Spices</v>
      </c>
      <c r="I72">
        <v>35</v>
      </c>
      <c r="J72">
        <v>160</v>
      </c>
      <c r="K72">
        <v>5600</v>
      </c>
      <c r="L72">
        <v>110</v>
      </c>
      <c r="M72">
        <v>1750</v>
      </c>
    </row>
    <row r="73" spans="1:13">
      <c r="A73" t="str">
        <v>MM025</v>
      </c>
      <c r="B73">
        <v>45384</v>
      </c>
      <c r="C73" t="str">
        <v>Ramesh Gupta</v>
      </c>
      <c r="D73" t="str">
        <v>Sangli Sweets</v>
      </c>
      <c r="E73" t="str">
        <v>Sangli</v>
      </c>
      <c r="F73" t="str">
        <v>Maharashtra</v>
      </c>
      <c r="G73" t="str">
        <v>Turmeric Powder</v>
      </c>
      <c r="H73" t="str">
        <v>Ground Spices</v>
      </c>
      <c r="I73">
        <v>30</v>
      </c>
      <c r="J73">
        <v>180</v>
      </c>
      <c r="K73">
        <v>5400</v>
      </c>
      <c r="L73">
        <v>120</v>
      </c>
      <c r="M73">
        <v>1800</v>
      </c>
    </row>
    <row r="74" spans="1:13">
      <c r="A74" t="str">
        <v>MM035</v>
      </c>
      <c r="B74">
        <v>45417</v>
      </c>
      <c r="C74" t="str">
        <v>Sunita Singh</v>
      </c>
      <c r="D74" t="str">
        <v>Hingoli Kitchen</v>
      </c>
      <c r="E74" t="str">
        <v>Hingoli</v>
      </c>
      <c r="F74" t="str">
        <v>Maharashtra</v>
      </c>
      <c r="G74" t="str">
        <v>Red Chili Powder</v>
      </c>
      <c r="H74" t="str">
        <v>Ground Spices</v>
      </c>
      <c r="I74">
        <v>24</v>
      </c>
      <c r="J74">
        <v>220</v>
      </c>
      <c r="K74">
        <v>5280</v>
      </c>
      <c r="L74">
        <v>150</v>
      </c>
      <c r="M74">
        <v>1680</v>
      </c>
    </row>
    <row r="75" spans="1:13">
      <c r="A75" t="str">
        <v>MM017</v>
      </c>
      <c r="B75">
        <v>45356</v>
      </c>
      <c r="C75" t="str">
        <v>Ramesh Gupta</v>
      </c>
      <c r="D75" t="str">
        <v>Kolhapur Kitchen</v>
      </c>
      <c r="E75" t="str">
        <v>Kolhapur</v>
      </c>
      <c r="F75" t="str">
        <v>Maharashtra</v>
      </c>
      <c r="G75" t="str">
        <v>Kolhapuri Masala</v>
      </c>
      <c r="H75" t="str">
        <v>Spice Blends</v>
      </c>
      <c r="I75">
        <v>15</v>
      </c>
      <c r="J75">
        <v>350</v>
      </c>
      <c r="K75">
        <v>5250</v>
      </c>
      <c r="L75">
        <v>220</v>
      </c>
      <c r="M75">
        <v>1950</v>
      </c>
    </row>
    <row r="76" spans="1:13">
      <c r="A76" t="str">
        <v>MM034</v>
      </c>
      <c r="B76">
        <v>45414</v>
      </c>
      <c r="C76" t="str">
        <v>Amit Kumar</v>
      </c>
      <c r="D76" t="str">
        <v>Washim Wok</v>
      </c>
      <c r="E76" t="str">
        <v>Washim</v>
      </c>
      <c r="F76" t="str">
        <v>Maharashtra</v>
      </c>
      <c r="G76" t="str">
        <v>Turmeric Powder</v>
      </c>
      <c r="H76" t="str">
        <v>Ground Spices</v>
      </c>
      <c r="I76">
        <v>28</v>
      </c>
      <c r="J76">
        <v>180</v>
      </c>
      <c r="K76">
        <v>5040</v>
      </c>
      <c r="L76">
        <v>120</v>
      </c>
      <c r="M76">
        <v>1680</v>
      </c>
    </row>
    <row r="77" spans="1:13">
      <c r="A77" t="str">
        <v>MM007</v>
      </c>
      <c r="B77">
        <v>45319</v>
      </c>
      <c r="C77" t="str">
        <v>Sunita Singh</v>
      </c>
      <c r="D77" t="str">
        <v>Krishna Cafe</v>
      </c>
      <c r="E77" t="str">
        <v>Nagpur</v>
      </c>
      <c r="F77" t="str">
        <v>Maharashtra</v>
      </c>
      <c r="G77" t="str">
        <v>Cardamom</v>
      </c>
      <c r="H77" t="str">
        <v>Whole Spices</v>
      </c>
      <c r="I77">
        <v>2</v>
      </c>
      <c r="J77">
        <v>2500</v>
      </c>
      <c r="K77">
        <v>5000</v>
      </c>
      <c r="L77">
        <v>2000</v>
      </c>
      <c r="M77">
        <v>1000</v>
      </c>
    </row>
    <row r="78" spans="1:13">
      <c r="A78" t="str">
        <v>MM018</v>
      </c>
      <c r="B78">
        <v>45359</v>
      </c>
      <c r="C78" t="str">
        <v>Amit Kumar</v>
      </c>
      <c r="D78" t="str">
        <v>Solapur Spices</v>
      </c>
      <c r="E78" t="str">
        <v>Solapur</v>
      </c>
      <c r="F78" t="str">
        <v>Maharashtra</v>
      </c>
      <c r="G78" t="str">
        <v>Red Chili Powder</v>
      </c>
      <c r="H78" t="str">
        <v>Ground Spices</v>
      </c>
      <c r="I78">
        <v>22</v>
      </c>
      <c r="J78">
        <v>220</v>
      </c>
      <c r="K78">
        <v>4840</v>
      </c>
      <c r="L78">
        <v>150</v>
      </c>
      <c r="M78">
        <v>1540</v>
      </c>
    </row>
    <row r="79" spans="1:13">
      <c r="A79" t="str">
        <v>MM004</v>
      </c>
      <c r="B79">
        <v>45311</v>
      </c>
      <c r="C79" t="str">
        <v>Priya Patel</v>
      </c>
      <c r="D79" t="str">
        <v>Maharaja Dhaba</v>
      </c>
      <c r="E79" t="str">
        <v>Nashik</v>
      </c>
      <c r="F79" t="str">
        <v>Maharashtra</v>
      </c>
      <c r="G79" t="str">
        <v>Cumin Seeds</v>
      </c>
      <c r="H79" t="str">
        <v>Whole Spices</v>
      </c>
      <c r="I79">
        <v>30</v>
      </c>
      <c r="J79">
        <v>160</v>
      </c>
      <c r="K79">
        <v>4800</v>
      </c>
      <c r="L79">
        <v>110</v>
      </c>
      <c r="M79">
        <v>1500</v>
      </c>
    </row>
    <row r="80" spans="1:13">
      <c r="A80" t="str">
        <v>MM036</v>
      </c>
      <c r="B80">
        <v>45420</v>
      </c>
      <c r="C80" t="str">
        <v>Priya Patel</v>
      </c>
      <c r="D80" t="str">
        <v>Nanded Nosh</v>
      </c>
      <c r="E80" t="str">
        <v>Nanded</v>
      </c>
      <c r="F80" t="str">
        <v>Maharashtra</v>
      </c>
      <c r="G80" t="str">
        <v>Pav Bhaji Masala</v>
      </c>
      <c r="H80" t="str">
        <v>Spice Blends</v>
      </c>
      <c r="I80">
        <v>16</v>
      </c>
      <c r="J80">
        <v>300</v>
      </c>
      <c r="K80">
        <v>4800</v>
      </c>
      <c r="L80">
        <v>190</v>
      </c>
      <c r="M80">
        <v>1760</v>
      </c>
    </row>
    <row r="81" spans="1:13">
      <c r="A81" t="str">
        <v>MM039</v>
      </c>
      <c r="B81">
        <v>45430</v>
      </c>
      <c r="C81" t="str">
        <v>Sunita Singh</v>
      </c>
      <c r="D81" t="str">
        <v>Osmanabad Organic</v>
      </c>
      <c r="E81" t="str">
        <v>Osmanabad</v>
      </c>
      <c r="F81" t="str">
        <v>Maharashtra</v>
      </c>
      <c r="G81" t="str">
        <v>Black Pepper</v>
      </c>
      <c r="H81" t="str">
        <v>Whole Spices</v>
      </c>
      <c r="I81">
        <v>6</v>
      </c>
      <c r="J81">
        <v>800</v>
      </c>
      <c r="K81">
        <v>4800</v>
      </c>
      <c r="L81">
        <v>600</v>
      </c>
      <c r="M81">
        <v>1200</v>
      </c>
    </row>
    <row r="82" spans="1:13">
      <c r="A82" t="str">
        <v>MM009</v>
      </c>
      <c r="B82">
        <v>45327</v>
      </c>
      <c r="C82" t="str">
        <v>Ramesh Gupta</v>
      </c>
      <c r="D82" t="str">
        <v>Pune Palace</v>
      </c>
      <c r="E82" t="str">
        <v>Pune</v>
      </c>
      <c r="F82" t="str">
        <v>Maharashtra</v>
      </c>
      <c r="G82" t="str">
        <v>Biryani Masala</v>
      </c>
      <c r="H82" t="str">
        <v>Spice Blends</v>
      </c>
      <c r="I82">
        <v>12</v>
      </c>
      <c r="J82">
        <v>380</v>
      </c>
      <c r="K82">
        <v>4560</v>
      </c>
      <c r="L82">
        <v>250</v>
      </c>
      <c r="M82">
        <v>1560</v>
      </c>
    </row>
    <row r="83" spans="1:13">
      <c r="A83" t="str">
        <v>MM001</v>
      </c>
      <c r="B83">
        <v>45306</v>
      </c>
      <c r="C83" t="str">
        <v>Priya Patel</v>
      </c>
      <c r="D83" t="str">
        <v>Taj Restaurant</v>
      </c>
      <c r="E83" t="str">
        <v>Mumbai</v>
      </c>
      <c r="F83" t="str">
        <v>Maharashtra</v>
      </c>
      <c r="G83" t="str">
        <v>Turmeric Powder</v>
      </c>
      <c r="H83" t="str">
        <v>Ground Spices</v>
      </c>
      <c r="I83">
        <v>25</v>
      </c>
      <c r="J83">
        <v>180</v>
      </c>
      <c r="K83">
        <v>4500</v>
      </c>
      <c r="L83">
        <v>120</v>
      </c>
      <c r="M83">
        <v>1500</v>
      </c>
    </row>
    <row r="84" spans="1:13">
      <c r="A84" t="str">
        <v>MM003</v>
      </c>
      <c r="B84">
        <v>45309</v>
      </c>
      <c r="C84" t="str">
        <v>Sunita Singh</v>
      </c>
      <c r="D84" t="str">
        <v>Royal Kitchen</v>
      </c>
      <c r="E84" t="str">
        <v>Mumbai</v>
      </c>
      <c r="F84" t="str">
        <v>Maharashtra</v>
      </c>
      <c r="G84" t="str">
        <v>Garam Masala</v>
      </c>
      <c r="H84" t="str">
        <v>Spice Blends</v>
      </c>
      <c r="I84">
        <v>10</v>
      </c>
      <c r="J84">
        <v>450</v>
      </c>
      <c r="K84">
        <v>4500</v>
      </c>
      <c r="L84">
        <v>300</v>
      </c>
      <c r="M84">
        <v>1500</v>
      </c>
    </row>
    <row r="85" spans="1:13">
      <c r="A85" t="str">
        <v>MM040</v>
      </c>
      <c r="B85">
        <v>45434</v>
      </c>
      <c r="C85" t="str">
        <v>Priya Patel</v>
      </c>
      <c r="D85" t="str">
        <v>Solapur Supreme</v>
      </c>
      <c r="E85" t="str">
        <v>Solapur</v>
      </c>
      <c r="F85" t="str">
        <v>Maharashtra</v>
      </c>
      <c r="G85" t="str">
        <v>Cloves</v>
      </c>
      <c r="H85" t="str">
        <v>Whole Spices</v>
      </c>
      <c r="I85">
        <v>3</v>
      </c>
      <c r="J85">
        <v>1500</v>
      </c>
      <c r="K85">
        <v>4500</v>
      </c>
      <c r="L85">
        <v>1200</v>
      </c>
      <c r="M85">
        <v>900</v>
      </c>
    </row>
    <row r="86" spans="1:13">
      <c r="A86" t="str">
        <v>MM045</v>
      </c>
      <c r="B86">
        <v>45451</v>
      </c>
      <c r="C86" t="str">
        <v>Ramesh Gupta</v>
      </c>
      <c r="D86" t="str">
        <v>Kolhapur Kraft</v>
      </c>
      <c r="E86" t="str">
        <v>Kolhapur</v>
      </c>
      <c r="F86" t="str">
        <v>Maharashtra</v>
      </c>
      <c r="G86" t="str">
        <v>Meat Masala</v>
      </c>
      <c r="H86" t="str">
        <v>Spice Blends</v>
      </c>
      <c r="I86">
        <v>11</v>
      </c>
      <c r="J86">
        <v>400</v>
      </c>
      <c r="K86">
        <v>4400</v>
      </c>
      <c r="L86">
        <v>260</v>
      </c>
      <c r="M86">
        <v>1540</v>
      </c>
    </row>
    <row r="87" spans="1:13">
      <c r="A87" t="str">
        <v>MM021</v>
      </c>
      <c r="B87">
        <v>45369</v>
      </c>
      <c r="C87" t="str">
        <v>Ramesh Gupta</v>
      </c>
      <c r="D87" t="str">
        <v>Dhule Dining</v>
      </c>
      <c r="E87" t="str">
        <v>Dhule</v>
      </c>
      <c r="F87" t="str">
        <v>Maharashtra</v>
      </c>
      <c r="G87" t="str">
        <v>Coriander Seeds</v>
      </c>
      <c r="H87" t="str">
        <v>Whole Spices</v>
      </c>
      <c r="I87">
        <v>32</v>
      </c>
      <c r="J87">
        <v>130</v>
      </c>
      <c r="K87">
        <v>4160</v>
      </c>
      <c r="L87">
        <v>90</v>
      </c>
      <c r="M87">
        <v>1280</v>
      </c>
    </row>
    <row r="88" spans="1:13">
      <c r="A88" t="str">
        <v>MM049</v>
      </c>
      <c r="B88">
        <v>45465</v>
      </c>
      <c r="C88" t="str">
        <v>Ramesh Gupta</v>
      </c>
      <c r="D88" t="str">
        <v>Pune Perfect</v>
      </c>
      <c r="E88" t="str">
        <v>Pune</v>
      </c>
      <c r="F88" t="str">
        <v>Maharashtra</v>
      </c>
      <c r="G88" t="str">
        <v>Chana Masala</v>
      </c>
      <c r="H88" t="str">
        <v>Spice Blends</v>
      </c>
      <c r="I88">
        <v>14</v>
      </c>
      <c r="J88">
        <v>290</v>
      </c>
      <c r="K88">
        <v>4060</v>
      </c>
      <c r="L88">
        <v>185</v>
      </c>
      <c r="M88">
        <v>1470</v>
      </c>
    </row>
    <row r="89" spans="1:13">
      <c r="A89" t="str">
        <v>MM006</v>
      </c>
      <c r="B89">
        <v>45316</v>
      </c>
      <c r="C89" t="str">
        <v>Amit Kumar</v>
      </c>
      <c r="D89" t="str">
        <v>Sagar Restaurant</v>
      </c>
      <c r="E89" t="str">
        <v>Pune</v>
      </c>
      <c r="F89" t="str">
        <v>Maharashtra</v>
      </c>
      <c r="G89" t="str">
        <v>Black Pepper</v>
      </c>
      <c r="H89" t="str">
        <v>Whole Spices</v>
      </c>
      <c r="I89">
        <v>5</v>
      </c>
      <c r="J89">
        <v>800</v>
      </c>
      <c r="K89">
        <v>4000</v>
      </c>
      <c r="L89">
        <v>600</v>
      </c>
      <c r="M89">
        <v>1000</v>
      </c>
    </row>
    <row r="90" spans="1:13">
      <c r="A90" t="str">
        <v>MM013</v>
      </c>
      <c r="B90">
        <v>45340</v>
      </c>
      <c r="C90" t="str">
        <v>Ramesh Gupta</v>
      </c>
      <c r="D90" t="str">
        <v>Nashik Nosh</v>
      </c>
      <c r="E90" t="str">
        <v>Nashik</v>
      </c>
      <c r="F90" t="str">
        <v>Maharashtra</v>
      </c>
      <c r="G90" t="str">
        <v>Cumin Seeds</v>
      </c>
      <c r="H90" t="str">
        <v>Whole Spices</v>
      </c>
      <c r="I90">
        <v>25</v>
      </c>
      <c r="J90">
        <v>160</v>
      </c>
      <c r="K90">
        <v>4000</v>
      </c>
      <c r="L90">
        <v>110</v>
      </c>
      <c r="M90">
        <v>1250</v>
      </c>
    </row>
    <row r="91" spans="1:13">
      <c r="A91" t="str">
        <v>MM044</v>
      </c>
      <c r="B91">
        <v>45448</v>
      </c>
      <c r="C91" t="str">
        <v>Priya Patel</v>
      </c>
      <c r="D91" t="str">
        <v>Aurangabad Aroma</v>
      </c>
      <c r="E91" t="str">
        <v>Aurangabad</v>
      </c>
      <c r="F91" t="str">
        <v>Maharashtra</v>
      </c>
      <c r="G91" t="str">
        <v>Rajma Masala</v>
      </c>
      <c r="H91" t="str">
        <v>Spice Blends</v>
      </c>
      <c r="I91">
        <v>13</v>
      </c>
      <c r="J91">
        <v>280</v>
      </c>
      <c r="K91">
        <v>3640</v>
      </c>
      <c r="L91">
        <v>180</v>
      </c>
      <c r="M91">
        <v>1300</v>
      </c>
    </row>
    <row r="92" spans="1:13">
      <c r="A92" t="str">
        <v>MM038</v>
      </c>
      <c r="B92">
        <v>45427</v>
      </c>
      <c r="C92" t="str">
        <v>Amit Kumar</v>
      </c>
      <c r="D92" t="str">
        <v>Jalna Journey</v>
      </c>
      <c r="E92" t="str">
        <v>Jalna</v>
      </c>
      <c r="F92" t="str">
        <v>Maharashtra</v>
      </c>
      <c r="G92" t="str">
        <v>Cumin Powder</v>
      </c>
      <c r="H92" t="str">
        <v>Ground Spices</v>
      </c>
      <c r="I92">
        <v>19</v>
      </c>
      <c r="J92">
        <v>190</v>
      </c>
      <c r="K92">
        <v>3610</v>
      </c>
      <c r="L92">
        <v>130</v>
      </c>
      <c r="M92">
        <v>1140</v>
      </c>
    </row>
    <row r="93" spans="1:13">
      <c r="A93" t="str">
        <v>MM012</v>
      </c>
      <c r="B93">
        <v>45337</v>
      </c>
      <c r="C93" t="str">
        <v>Priya Patel</v>
      </c>
      <c r="D93" t="str">
        <v>Mumbai Masala</v>
      </c>
      <c r="E93" t="str">
        <v>Mumbai</v>
      </c>
      <c r="F93" t="str">
        <v>Maharashtra</v>
      </c>
      <c r="G93" t="str">
        <v>Garam Masala</v>
      </c>
      <c r="H93" t="str">
        <v>Spice Blends</v>
      </c>
      <c r="I93">
        <v>8</v>
      </c>
      <c r="J93">
        <v>450</v>
      </c>
      <c r="K93">
        <v>3600</v>
      </c>
      <c r="L93">
        <v>300</v>
      </c>
      <c r="M93">
        <v>1200</v>
      </c>
    </row>
    <row r="94" spans="1:13">
      <c r="A94" t="str">
        <v>MM015</v>
      </c>
      <c r="B94">
        <v>45347</v>
      </c>
      <c r="C94" t="str">
        <v>Sunita Singh</v>
      </c>
      <c r="D94" t="str">
        <v>Royal Kitchen</v>
      </c>
      <c r="E94" t="str">
        <v>Mumbai</v>
      </c>
      <c r="F94" t="str">
        <v>Maharashtra</v>
      </c>
      <c r="G94" t="str">
        <v>Cinnamon Sticks</v>
      </c>
      <c r="H94" t="str">
        <v>Whole Spices</v>
      </c>
      <c r="I94">
        <v>3</v>
      </c>
      <c r="J94">
        <v>1200</v>
      </c>
      <c r="K94">
        <v>3600</v>
      </c>
      <c r="L94">
        <v>900</v>
      </c>
      <c r="M94">
        <v>900</v>
      </c>
    </row>
    <row r="95" spans="1:13">
      <c r="A95" t="str">
        <v>MM046</v>
      </c>
      <c r="B95">
        <v>45455</v>
      </c>
      <c r="C95" t="str">
        <v>Amit Kumar</v>
      </c>
      <c r="D95" t="str">
        <v>Nagpur Nouvelle</v>
      </c>
      <c r="E95" t="str">
        <v>Nagpur</v>
      </c>
      <c r="F95" t="str">
        <v>Maharashtra</v>
      </c>
      <c r="G95" t="str">
        <v>Fish Masala</v>
      </c>
      <c r="H95" t="str">
        <v>Spice Blends</v>
      </c>
      <c r="I95">
        <v>9</v>
      </c>
      <c r="J95">
        <v>380</v>
      </c>
      <c r="K95">
        <v>3420</v>
      </c>
      <c r="L95">
        <v>240</v>
      </c>
      <c r="M95">
        <v>1260</v>
      </c>
    </row>
    <row r="96" spans="1:13">
      <c r="A96" t="str">
        <v>MM002</v>
      </c>
      <c r="B96">
        <v>45307</v>
      </c>
      <c r="C96" t="str">
        <v>Amit Kumar</v>
      </c>
      <c r="D96" t="str">
        <v>Spice Garden Cafe</v>
      </c>
      <c r="E96" t="str">
        <v>Pune</v>
      </c>
      <c r="F96" t="str">
        <v>Maharashtra</v>
      </c>
      <c r="G96" t="str">
        <v>Red Chili Powder</v>
      </c>
      <c r="H96" t="str">
        <v>Ground Spices</v>
      </c>
      <c r="I96">
        <v>15</v>
      </c>
      <c r="J96">
        <v>220</v>
      </c>
      <c r="K96">
        <v>3300</v>
      </c>
      <c r="L96">
        <v>150</v>
      </c>
      <c r="M96">
        <v>1050</v>
      </c>
    </row>
    <row r="97" spans="1:13">
      <c r="A97" t="str">
        <v>MM037</v>
      </c>
      <c r="B97">
        <v>45424</v>
      </c>
      <c r="C97" t="str">
        <v>Ramesh Gupta</v>
      </c>
      <c r="D97" t="str">
        <v>Parbhani Palace</v>
      </c>
      <c r="E97" t="str">
        <v>Parbhani</v>
      </c>
      <c r="F97" t="str">
        <v>Maharashtra</v>
      </c>
      <c r="G97" t="str">
        <v>Coriander Powder</v>
      </c>
      <c r="H97" t="str">
        <v>Ground Spices</v>
      </c>
      <c r="I97">
        <v>22</v>
      </c>
      <c r="J97">
        <v>140</v>
      </c>
      <c r="K97">
        <v>3080</v>
      </c>
      <c r="L97">
        <v>95</v>
      </c>
      <c r="M97">
        <v>990</v>
      </c>
    </row>
    <row r="98" spans="1:13">
      <c r="A98" t="str">
        <v>MM033</v>
      </c>
      <c r="B98">
        <v>45410</v>
      </c>
      <c r="C98" t="str">
        <v>Ramesh Gupta</v>
      </c>
      <c r="D98" t="str">
        <v>Buldhana Bites</v>
      </c>
      <c r="E98" t="str">
        <v>Buldhana</v>
      </c>
      <c r="F98" t="str">
        <v>Maharashtra</v>
      </c>
      <c r="G98" t="str">
        <v>Asafoetida</v>
      </c>
      <c r="H98" t="str">
        <v>Ground Spices</v>
      </c>
      <c r="I98">
        <v>1</v>
      </c>
      <c r="J98">
        <v>3000</v>
      </c>
      <c r="K98">
        <v>3000</v>
      </c>
      <c r="L98">
        <v>2200</v>
      </c>
      <c r="M98">
        <v>800</v>
      </c>
    </row>
    <row r="99" spans="1:13">
      <c r="A99" t="str">
        <v>MM005</v>
      </c>
      <c r="B99">
        <v>45313</v>
      </c>
      <c r="C99" t="str">
        <v>Ramesh Gupta</v>
      </c>
      <c r="D99" t="str">
        <v>Bombay Bites</v>
      </c>
      <c r="E99" t="str">
        <v>Mumbai</v>
      </c>
      <c r="F99" t="str">
        <v>Maharashtra</v>
      </c>
      <c r="G99" t="str">
        <v>Coriander Powder</v>
      </c>
      <c r="H99" t="str">
        <v>Ground Spices</v>
      </c>
      <c r="I99">
        <v>20</v>
      </c>
      <c r="J99">
        <v>140</v>
      </c>
      <c r="K99">
        <v>2800</v>
      </c>
      <c r="L99">
        <v>95</v>
      </c>
      <c r="M99">
        <v>900</v>
      </c>
    </row>
    <row r="100" spans="1:13">
      <c r="A100" t="str">
        <v>MM022</v>
      </c>
      <c r="B100">
        <v>45373</v>
      </c>
      <c r="C100" t="str">
        <v>Amit Kumar</v>
      </c>
      <c r="D100" t="str">
        <v>Pune Express</v>
      </c>
      <c r="E100" t="str">
        <v>Pune</v>
      </c>
      <c r="F100" t="str">
        <v>Maharashtra</v>
      </c>
      <c r="G100" t="str">
        <v>Fennel Seeds</v>
      </c>
      <c r="H100" t="str">
        <v>Whole Spices</v>
      </c>
      <c r="I100">
        <v>14</v>
      </c>
      <c r="J100">
        <v>200</v>
      </c>
      <c r="K100">
        <v>2800</v>
      </c>
      <c r="L100">
        <v>140</v>
      </c>
      <c r="M100">
        <v>840</v>
      </c>
    </row>
    <row r="101" spans="1:13">
      <c r="A101" t="str">
        <v>MM042</v>
      </c>
      <c r="B101">
        <v>45440</v>
      </c>
      <c r="C101" t="str">
        <v>Amit Kumar</v>
      </c>
      <c r="D101" t="str">
        <v>Mumbai Magic</v>
      </c>
      <c r="E101" t="str">
        <v>Mumbai</v>
      </c>
      <c r="F101" t="str">
        <v>Maharashtra</v>
      </c>
      <c r="G101" t="str">
        <v>Mace</v>
      </c>
      <c r="H101" t="str">
        <v>Whole Spices</v>
      </c>
      <c r="I101">
        <v>1</v>
      </c>
      <c r="J101">
        <v>2500</v>
      </c>
      <c r="K101">
        <v>2500</v>
      </c>
      <c r="L101">
        <v>2000</v>
      </c>
      <c r="M101">
        <v>500</v>
      </c>
    </row>
    <row r="102" spans="1:13">
      <c r="A102" t="str">
        <v>MM043</v>
      </c>
      <c r="B102">
        <v>45445</v>
      </c>
      <c r="C102" t="str">
        <v>Sunita Singh</v>
      </c>
      <c r="D102" t="str">
        <v>Nashik Natural</v>
      </c>
      <c r="E102" t="str">
        <v>Nashik</v>
      </c>
      <c r="F102" t="str">
        <v>Maharashtra</v>
      </c>
      <c r="G102" t="str">
        <v>Curry Leaves Powder</v>
      </c>
      <c r="H102" t="str">
        <v>Ground Spices</v>
      </c>
      <c r="I102">
        <v>10</v>
      </c>
      <c r="J102">
        <v>250</v>
      </c>
      <c r="K102">
        <v>2500</v>
      </c>
      <c r="L102">
        <v>180</v>
      </c>
      <c r="M102">
        <v>700</v>
      </c>
    </row>
    <row r="103" spans="1:13">
      <c r="A103" t="str">
        <v>MM019</v>
      </c>
      <c r="B103">
        <v>45363</v>
      </c>
      <c r="C103" t="str">
        <v>Sunita Singh</v>
      </c>
      <c r="D103" t="str">
        <v>Nagpur Nights</v>
      </c>
      <c r="E103" t="str">
        <v>Nagpur</v>
      </c>
      <c r="F103" t="str">
        <v>Maharashtra</v>
      </c>
      <c r="G103" t="str">
        <v>Orange Peel Powder</v>
      </c>
      <c r="H103" t="str">
        <v>Ground Spices</v>
      </c>
      <c r="I103">
        <v>8</v>
      </c>
      <c r="J103">
        <v>300</v>
      </c>
      <c r="K103">
        <v>2400</v>
      </c>
      <c r="L103">
        <v>200</v>
      </c>
      <c r="M103">
        <v>800</v>
      </c>
    </row>
    <row r="104" spans="1:13">
      <c r="A104" t="str">
        <v>MM029</v>
      </c>
      <c r="B104">
        <v>45397</v>
      </c>
      <c r="C104" t="str">
        <v>Ramesh Gupta</v>
      </c>
      <c r="D104" t="str">
        <v>Jalgaon Junction</v>
      </c>
      <c r="E104" t="str">
        <v>Jalgaon</v>
      </c>
      <c r="F104" t="str">
        <v>Maharashtra</v>
      </c>
      <c r="G104" t="str">
        <v>Banana Powder</v>
      </c>
      <c r="H104" t="str">
        <v>Ground Spices</v>
      </c>
      <c r="I104">
        <v>6</v>
      </c>
      <c r="J104">
        <v>400</v>
      </c>
      <c r="K104">
        <v>2400</v>
      </c>
      <c r="L104">
        <v>280</v>
      </c>
      <c r="M104">
        <v>720</v>
      </c>
    </row>
    <row r="105" spans="1:13">
      <c r="A105" t="str">
        <v>MM031</v>
      </c>
      <c r="B105">
        <v>45404</v>
      </c>
      <c r="C105" t="str">
        <v>Sunita Singh</v>
      </c>
      <c r="D105" t="str">
        <v>Wardha Wonders</v>
      </c>
      <c r="E105" t="str">
        <v>Wardha</v>
      </c>
      <c r="F105" t="str">
        <v>Maharashtra</v>
      </c>
      <c r="G105" t="str">
        <v>Bay Leaves</v>
      </c>
      <c r="H105" t="str">
        <v>Whole Spices</v>
      </c>
      <c r="I105">
        <v>4</v>
      </c>
      <c r="J105">
        <v>600</v>
      </c>
      <c r="K105">
        <v>2400</v>
      </c>
      <c r="L105">
        <v>450</v>
      </c>
      <c r="M105">
        <v>600</v>
      </c>
    </row>
    <row r="106" spans="1:13">
      <c r="A106" t="str">
        <v>MM011</v>
      </c>
      <c r="B106">
        <v>45334</v>
      </c>
      <c r="C106" t="str">
        <v>Sunita Singh</v>
      </c>
      <c r="D106" t="str">
        <v>Deccan Delights</v>
      </c>
      <c r="E106" t="str">
        <v>Pune</v>
      </c>
      <c r="F106" t="str">
        <v>Maharashtra</v>
      </c>
      <c r="G106" t="str">
        <v>Mustard Seeds</v>
      </c>
      <c r="H106" t="str">
        <v>Whole Spices</v>
      </c>
      <c r="I106">
        <v>18</v>
      </c>
      <c r="J106">
        <v>120</v>
      </c>
      <c r="K106">
        <v>2160</v>
      </c>
      <c r="L106">
        <v>80</v>
      </c>
      <c r="M106">
        <v>720</v>
      </c>
    </row>
    <row r="107" spans="1:13">
      <c r="A107" t="str">
        <v>MM032</v>
      </c>
      <c r="B107">
        <v>45407</v>
      </c>
      <c r="C107" t="str">
        <v>Priya Patel</v>
      </c>
      <c r="D107" t="str">
        <v>Yavatmal Yummy</v>
      </c>
      <c r="E107" t="str">
        <v>Yavatmal</v>
      </c>
      <c r="F107" t="str">
        <v>Maharashtra</v>
      </c>
      <c r="G107" t="str">
        <v>Star Anise</v>
      </c>
      <c r="H107" t="str">
        <v>Whole Spices</v>
      </c>
      <c r="I107">
        <v>2</v>
      </c>
      <c r="J107">
        <v>1000</v>
      </c>
      <c r="K107">
        <v>2000</v>
      </c>
      <c r="L107">
        <v>750</v>
      </c>
      <c r="M107">
        <v>500</v>
      </c>
    </row>
    <row r="108" spans="1:13">
      <c r="A108" t="str">
        <v>MM041</v>
      </c>
      <c r="B108">
        <v>45437</v>
      </c>
      <c r="C108" t="str">
        <v>Ramesh Gupta</v>
      </c>
      <c r="D108" t="str">
        <v>Pune Premium</v>
      </c>
      <c r="E108" t="str">
        <v>Pune</v>
      </c>
      <c r="F108" t="str">
        <v>Maharashtra</v>
      </c>
      <c r="G108" t="str">
        <v>Nutmeg</v>
      </c>
      <c r="H108" t="str">
        <v>Whole Spices</v>
      </c>
      <c r="I108">
        <v>1</v>
      </c>
      <c r="J108">
        <v>2000</v>
      </c>
      <c r="K108">
        <v>2000</v>
      </c>
      <c r="L108">
        <v>1500</v>
      </c>
      <c r="M108">
        <v>500</v>
      </c>
    </row>
    <row r="109" spans="1:13">
      <c r="A109" t="str">
        <v>MM023</v>
      </c>
      <c r="B109">
        <v>45376</v>
      </c>
      <c r="C109" t="str">
        <v>Sunita Singh</v>
      </c>
      <c r="D109" t="str">
        <v>Latur Lunch</v>
      </c>
      <c r="E109" t="str">
        <v>Latur</v>
      </c>
      <c r="F109" t="str">
        <v>Maharashtra</v>
      </c>
      <c r="G109" t="str">
        <v>Fenugreek Seeds</v>
      </c>
      <c r="H109" t="str">
        <v>Whole Spices</v>
      </c>
      <c r="I109">
        <v>10</v>
      </c>
      <c r="J109">
        <v>180</v>
      </c>
      <c r="K109">
        <v>1800</v>
      </c>
      <c r="L109">
        <v>120</v>
      </c>
      <c r="M109">
        <v>600</v>
      </c>
    </row>
    <row r="110" spans="1:13">
      <c r="A110" t="str">
        <v>MM028</v>
      </c>
      <c r="B110">
        <v>45394</v>
      </c>
      <c r="C110" t="str">
        <v>Priya Patel</v>
      </c>
      <c r="D110" t="str">
        <v>Beed Bites</v>
      </c>
      <c r="E110" t="str">
        <v>Beed</v>
      </c>
      <c r="F110" t="str">
        <v>Maharashtra</v>
      </c>
      <c r="G110" t="str">
        <v>Black Mustard Seeds</v>
      </c>
      <c r="H110" t="str">
        <v>Whole Spices</v>
      </c>
      <c r="I110">
        <v>12</v>
      </c>
      <c r="J110">
        <v>150</v>
      </c>
      <c r="K110">
        <v>1800</v>
      </c>
      <c r="L110">
        <v>100</v>
      </c>
      <c r="M110">
        <v>600</v>
      </c>
    </row>
    <row r="114" spans="1:5">
      <c r="A114" t="s">
        <v>195</v>
      </c>
      <c r="B114" s="3" t="str">
        <f>_xlfn.XLOOKUP("Taja Restaurant",SalesTable[Customer_Name],SalesTable[Profit],"Not Found")</f>
        <v>Not Found</v>
      </c>
    </row>
    <row r="118" spans="1:5">
      <c r="A118" t="s">
        <v>196</v>
      </c>
      <c r="B118" t="str" cm="1">
        <f t="array" ref="B118:B120">_xlfn._xlws.SORT(_xlfn.UNIQUE(SalesTable[Category]))</f>
        <v>Ground Spices</v>
      </c>
      <c r="C118">
        <f>SUMIF(SalesTable[Category], B118, SalesTable[Total_Amount])</f>
        <v>73530</v>
      </c>
      <c r="D118">
        <f>COUNTIF(SalesTable[Category], B118)</f>
        <v>17</v>
      </c>
      <c r="E118">
        <f>C118/D118</f>
        <v>4325.2941176470586</v>
      </c>
    </row>
    <row r="119" spans="1:5">
      <c r="B119" t="str">
        <v>Spice Blends</v>
      </c>
      <c r="C119">
        <f>SUMIF(SalesTable[Category], B119, SalesTable[Total_Amount])</f>
        <v>74730</v>
      </c>
      <c r="D119">
        <f>COUNTIF(SalesTable[Category], B119)</f>
        <v>15</v>
      </c>
      <c r="E119">
        <f t="shared" ref="E119:E120" si="0">C119/D119</f>
        <v>4982</v>
      </c>
    </row>
    <row r="120" spans="1:5">
      <c r="B120" t="str">
        <v>Whole Spices</v>
      </c>
      <c r="C120">
        <f>SUMIF(SalesTable[Category], B120, SalesTable[Total_Amount])</f>
        <v>63520</v>
      </c>
      <c r="D120">
        <f>COUNTIF(SalesTable[Category], B120)</f>
        <v>18</v>
      </c>
      <c r="E120">
        <f t="shared" si="0"/>
        <v>3528.8888888888887</v>
      </c>
    </row>
    <row r="123" spans="1:5">
      <c r="A123" t="s">
        <v>197</v>
      </c>
    </row>
    <row r="127" spans="1:5">
      <c r="A127" t="s">
        <v>198</v>
      </c>
    </row>
  </sheetData>
  <mergeCells count="1">
    <mergeCell ref="A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93F7-9906-479C-A271-5537F33C69F9}">
  <dimension ref="A1:C1"/>
  <sheetViews>
    <sheetView workbookViewId="0"/>
  </sheetViews>
  <sheetFormatPr defaultRowHeight="15"/>
  <cols>
    <col min="1" max="1" width="36.5703125" bestFit="1" customWidth="1"/>
    <col min="3" max="3" width="12.42578125" bestFit="1" customWidth="1"/>
  </cols>
  <sheetData>
    <row r="1" spans="1:3">
      <c r="A1" s="3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2026-03-22T04:02:12Z</dcterms:created>
  <dcterms:modified xsi:type="dcterms:W3CDTF">2026-03-22T05:32:21Z</dcterms:modified>
  <cp:category/>
  <cp:contentStatus/>
</cp:coreProperties>
</file>